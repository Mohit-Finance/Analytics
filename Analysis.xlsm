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Algo\Python - UpStox\Live Option Chain Analysis\"/>
    </mc:Choice>
  </mc:AlternateContent>
  <bookViews>
    <workbookView xWindow="0" yWindow="0" windowWidth="22260" windowHeight="12648"/>
  </bookViews>
  <sheets>
    <sheet name="summary" sheetId="1" r:id="rId1"/>
    <sheet name="nifty_0" sheetId="2" r:id="rId2"/>
    <sheet name="nifty_1" sheetId="3" r:id="rId3"/>
    <sheet name="nifty_3" sheetId="7" r:id="rId4"/>
    <sheet name="bnf_0" sheetId="9" r:id="rId5"/>
    <sheet name="sensex_0" sheetId="10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" i="1" l="1"/>
  <c r="N11" i="1"/>
  <c r="K12" i="1"/>
  <c r="K11" i="1"/>
  <c r="H12" i="1"/>
  <c r="H11" i="1"/>
  <c r="E12" i="1"/>
  <c r="E11" i="1"/>
  <c r="B12" i="1"/>
  <c r="B11" i="1"/>
</calcChain>
</file>

<file path=xl/sharedStrings.xml><?xml version="1.0" encoding="utf-8"?>
<sst xmlns="http://schemas.openxmlformats.org/spreadsheetml/2006/main" count="552" uniqueCount="371">
  <si>
    <t>CE ATM LTP</t>
  </si>
  <si>
    <t>PE ATM LTP</t>
  </si>
  <si>
    <t>expiry</t>
  </si>
  <si>
    <t>pcr</t>
  </si>
  <si>
    <t>CE_instrument_key</t>
  </si>
  <si>
    <t>CE_delta</t>
  </si>
  <si>
    <t>CE_oi</t>
  </si>
  <si>
    <t>CE_iv</t>
  </si>
  <si>
    <t>CE_vega</t>
  </si>
  <si>
    <t>CE_theta</t>
  </si>
  <si>
    <t>CE_ltp</t>
  </si>
  <si>
    <t>strike_price</t>
  </si>
  <si>
    <t>PE_ltp</t>
  </si>
  <si>
    <t>PE_theta</t>
  </si>
  <si>
    <t>PE_vega</t>
  </si>
  <si>
    <t>PE_iv</t>
  </si>
  <si>
    <t>PE_oi</t>
  </si>
  <si>
    <t>PE_delta</t>
  </si>
  <si>
    <t>PE_instrument_key</t>
  </si>
  <si>
    <t>spot_price</t>
  </si>
  <si>
    <t>diff</t>
  </si>
  <si>
    <t>prem_diff</t>
  </si>
  <si>
    <t>CE/PE</t>
  </si>
  <si>
    <t>1_Initial</t>
  </si>
  <si>
    <t>1_Current</t>
  </si>
  <si>
    <t>2_Initial</t>
  </si>
  <si>
    <t>2_Current</t>
  </si>
  <si>
    <t>3_Initial</t>
  </si>
  <si>
    <t>3_Current</t>
  </si>
  <si>
    <t>Nifty</t>
  </si>
  <si>
    <t>Time</t>
  </si>
  <si>
    <t>ATM Straddle</t>
  </si>
  <si>
    <t>Spot Price</t>
  </si>
  <si>
    <t>CE Side LTP</t>
  </si>
  <si>
    <t>PE Side LTP</t>
  </si>
  <si>
    <t>CE Side Theta</t>
  </si>
  <si>
    <t>PE Side Theta</t>
  </si>
  <si>
    <t>CE Side Vega</t>
  </si>
  <si>
    <t>PE Side Vega</t>
  </si>
  <si>
    <t>CE Side IV</t>
  </si>
  <si>
    <t>PE Side IV</t>
  </si>
  <si>
    <t>CE Side OI</t>
  </si>
  <si>
    <t>PE Side OI</t>
  </si>
  <si>
    <t>Atm Straddle</t>
  </si>
  <si>
    <t>4_Initial</t>
  </si>
  <si>
    <t>4_Current</t>
  </si>
  <si>
    <t>5_Initial</t>
  </si>
  <si>
    <t>5_Current</t>
  </si>
  <si>
    <t>Bank Nifty</t>
  </si>
  <si>
    <t>Sensex</t>
  </si>
  <si>
    <t>India Vix</t>
  </si>
  <si>
    <t>India VIX</t>
  </si>
  <si>
    <t>CE_volume</t>
  </si>
  <si>
    <t>PE_volume</t>
  </si>
  <si>
    <t>NSE_FO|51013</t>
  </si>
  <si>
    <t>NSE_FO|51014</t>
  </si>
  <si>
    <t>NSE_FO|51015</t>
  </si>
  <si>
    <t>NSE_FO|51016</t>
  </si>
  <si>
    <t>NSE_FO|51017</t>
  </si>
  <si>
    <t>NSE_FO|51018</t>
  </si>
  <si>
    <t>NSE_FO|51019</t>
  </si>
  <si>
    <t>NSE_FO|51020</t>
  </si>
  <si>
    <t>NSE_FO|51021</t>
  </si>
  <si>
    <t>NSE_FO|51022</t>
  </si>
  <si>
    <t>NSE_FO|57855</t>
  </si>
  <si>
    <t>NSE_FO|57856</t>
  </si>
  <si>
    <t>NSE_FO|57857</t>
  </si>
  <si>
    <t>NSE_FO|57899</t>
  </si>
  <si>
    <t>NSE_FO|57900</t>
  </si>
  <si>
    <t>NSE_FO|57904</t>
  </si>
  <si>
    <t>NSE_FO|57905</t>
  </si>
  <si>
    <t>NSE_FO|57906</t>
  </si>
  <si>
    <t>NSE_FO|57907</t>
  </si>
  <si>
    <t>NSE_FO|57908</t>
  </si>
  <si>
    <t>NSE_FO|44900</t>
  </si>
  <si>
    <t>NSE_FO|44901</t>
  </si>
  <si>
    <t>NSE_FO|44902</t>
  </si>
  <si>
    <t>NSE_FO|44903</t>
  </si>
  <si>
    <t>NSE_FO|51045</t>
  </si>
  <si>
    <t>NSE_FO|51046</t>
  </si>
  <si>
    <t>NSE_FO|51047</t>
  </si>
  <si>
    <t>NSE_FO|51048</t>
  </si>
  <si>
    <t>NSE_FO|62399</t>
  </si>
  <si>
    <t>NSE_FO|62400</t>
  </si>
  <si>
    <t>NSE_FO|62401</t>
  </si>
  <si>
    <t>NSE_FO|62402</t>
  </si>
  <si>
    <t>NSE_FO|62403</t>
  </si>
  <si>
    <t>NSE_FO|62406</t>
  </si>
  <si>
    <t>NSE_FO|62407</t>
  </si>
  <si>
    <t>NSE_FO|62408</t>
  </si>
  <si>
    <t>NSE_FO|62409</t>
  </si>
  <si>
    <t>NSE_FO|62410</t>
  </si>
  <si>
    <t>NSE_FO|62433</t>
  </si>
  <si>
    <t>NSE_FO|62438</t>
  </si>
  <si>
    <t>NSE_FO|57931</t>
  </si>
  <si>
    <t>NSE_FO|57932</t>
  </si>
  <si>
    <t>NSE_FO|57933</t>
  </si>
  <si>
    <t>NSE_FO|57934</t>
  </si>
  <si>
    <t>NSE_FO|57935</t>
  </si>
  <si>
    <t>NSE_FO|57936</t>
  </si>
  <si>
    <t>NSE_FO|57937</t>
  </si>
  <si>
    <t>NSE_FO|57938</t>
  </si>
  <si>
    <t>NSE_FO|62439</t>
  </si>
  <si>
    <t>NSE_FO|62440</t>
  </si>
  <si>
    <t>NSE_FO|44904</t>
  </si>
  <si>
    <t>NSE_FO|44905</t>
  </si>
  <si>
    <t>NSE_FO|57939</t>
  </si>
  <si>
    <t>NSE_FO|57940</t>
  </si>
  <si>
    <t>NSE_FO|51049</t>
  </si>
  <si>
    <t>NSE_FO|51050</t>
  </si>
  <si>
    <t>NSE_FO|62441</t>
  </si>
  <si>
    <t>NSE_FO|62442</t>
  </si>
  <si>
    <t>BSE_FO|1140433</t>
  </si>
  <si>
    <t>BSE_FO|1140754</t>
  </si>
  <si>
    <t>BSE_FO|1140005</t>
  </si>
  <si>
    <t>BSE_FO|1140372</t>
  </si>
  <si>
    <t>BSE_FO|1140246</t>
  </si>
  <si>
    <t>BSE_FO|1141281</t>
  </si>
  <si>
    <t>NSE_FO|44906</t>
  </si>
  <si>
    <t>NSE_FO|44907</t>
  </si>
  <si>
    <t>NSE_FO|44908</t>
  </si>
  <si>
    <t>NSE_FO|44909</t>
  </si>
  <si>
    <t>NSE_FO|44910</t>
  </si>
  <si>
    <t>NSE_FO|44911</t>
  </si>
  <si>
    <t>NSE_FO|51051</t>
  </si>
  <si>
    <t>NSE_FO|51052</t>
  </si>
  <si>
    <t>NSE_FO|51053</t>
  </si>
  <si>
    <t>NSE_FO|51054</t>
  </si>
  <si>
    <t>NSE_FO|51055</t>
  </si>
  <si>
    <t>NSE_FO|51056</t>
  </si>
  <si>
    <t>NSE_FO|62443</t>
  </si>
  <si>
    <t>NSE_FO|62444</t>
  </si>
  <si>
    <t>NSE_FO|71383</t>
  </si>
  <si>
    <t>NSE_FO|71384</t>
  </si>
  <si>
    <t>NSE_FO|62445</t>
  </si>
  <si>
    <t>NSE_FO|62446</t>
  </si>
  <si>
    <t>NSE_FO|57941</t>
  </si>
  <si>
    <t>NSE_FO|57942</t>
  </si>
  <si>
    <t>BSE_FO|1141419</t>
  </si>
  <si>
    <t>BSE_FO|1140195</t>
  </si>
  <si>
    <t>BSE_FO|1141057</t>
  </si>
  <si>
    <t>BSE_FO|1141377</t>
  </si>
  <si>
    <t>BSE_FO|1141511</t>
  </si>
  <si>
    <t>BSE_FO|1140297</t>
  </si>
  <si>
    <t>NSE_FO|56729</t>
  </si>
  <si>
    <t>NSE_FO|56732</t>
  </si>
  <si>
    <t>NSE_FO|56733</t>
  </si>
  <si>
    <t>NSE_FO|56738</t>
  </si>
  <si>
    <t>NSE_FO|56739</t>
  </si>
  <si>
    <t>NSE_FO|56740</t>
  </si>
  <si>
    <t>NSE_FO|56741</t>
  </si>
  <si>
    <t>NSE_FO|56754</t>
  </si>
  <si>
    <t>NSE_FO|56755</t>
  </si>
  <si>
    <t>NSE_FO|56775</t>
  </si>
  <si>
    <t>NSE_FO|62411</t>
  </si>
  <si>
    <t>NSE_FO|62414</t>
  </si>
  <si>
    <t>9997575.0  (1.02)</t>
  </si>
  <si>
    <t>9787800.0  (0.98)</t>
  </si>
  <si>
    <t>2169675.0  (1.15)</t>
  </si>
  <si>
    <t>189060.0  (0.97)</t>
  </si>
  <si>
    <t>1883700.0  (0.87)</t>
  </si>
  <si>
    <t>195060.0  (1.03)</t>
  </si>
  <si>
    <t>-58200.0  (-0.3)</t>
  </si>
  <si>
    <t>196200.0  (-3.37)</t>
  </si>
  <si>
    <t>1113540.0  (0.82)</t>
  </si>
  <si>
    <t>1358180.0  (1.22)</t>
  </si>
  <si>
    <t>NSE_FO|57909</t>
  </si>
  <si>
    <t>NSE_FO|57910</t>
  </si>
  <si>
    <t>NSE_FO|56776</t>
  </si>
  <si>
    <t>NSE_FO|56780</t>
  </si>
  <si>
    <t>NSE_FO|51023</t>
  </si>
  <si>
    <t>NSE_FO|51024</t>
  </si>
  <si>
    <t>NSE_FO|51025</t>
  </si>
  <si>
    <t>NSE_FO|51026</t>
  </si>
  <si>
    <t>NSE_FO|62415</t>
  </si>
  <si>
    <t>NSE_FO|62416</t>
  </si>
  <si>
    <t>NSE_FO|56781</t>
  </si>
  <si>
    <t>NSE_FO|56804</t>
  </si>
  <si>
    <t>NSE_FO|62417</t>
  </si>
  <si>
    <t>NSE_FO|62418</t>
  </si>
  <si>
    <t>Windows 1</t>
  </si>
  <si>
    <t>Windows 2</t>
  </si>
  <si>
    <t>Main Screen</t>
  </si>
  <si>
    <t>NSE_FO|56805</t>
  </si>
  <si>
    <t>NSE_FO|56842</t>
  </si>
  <si>
    <t>NSE_FO|51027</t>
  </si>
  <si>
    <t>NSE_FO|51028</t>
  </si>
  <si>
    <t>NSE_FO|57911</t>
  </si>
  <si>
    <t>NSE_FO|57912</t>
  </si>
  <si>
    <t>Speed Exec</t>
  </si>
  <si>
    <t>Linear Reg</t>
  </si>
  <si>
    <t>Quad Reg</t>
  </si>
  <si>
    <t>Exit Program</t>
  </si>
  <si>
    <t>NSE_FO|54793</t>
  </si>
  <si>
    <t>NSE_FO|54794</t>
  </si>
  <si>
    <t>BSE_FO|889143</t>
  </si>
  <si>
    <t>BSE_FO|889106</t>
  </si>
  <si>
    <t>BSE_FO|843133</t>
  </si>
  <si>
    <t>BSE_FO|843240</t>
  </si>
  <si>
    <t>BSE_FO|1100282</t>
  </si>
  <si>
    <t>BSE_FO|889813</t>
  </si>
  <si>
    <t>BSE_FO|1100164</t>
  </si>
  <si>
    <t>BSE_FO|1100118</t>
  </si>
  <si>
    <t>BSE_FO|1100469</t>
  </si>
  <si>
    <t>BSE_FO|1100007</t>
  </si>
  <si>
    <t>BSE_FO|889829</t>
  </si>
  <si>
    <t>BSE_FO|1100311</t>
  </si>
  <si>
    <t>BSE_FO|1100645</t>
  </si>
  <si>
    <t>BSE_FO|1100199</t>
  </si>
  <si>
    <t>BSE_FO|1100022</t>
  </si>
  <si>
    <t>BSE_FO|1100499</t>
  </si>
  <si>
    <t>NSE_FO|56843</t>
  </si>
  <si>
    <t>NSE_FO|56887</t>
  </si>
  <si>
    <t>NSE_FO|56888</t>
  </si>
  <si>
    <t>NSE_FO|56924</t>
  </si>
  <si>
    <t>NSE_FO|56925</t>
  </si>
  <si>
    <t>NSE_FO|56960</t>
  </si>
  <si>
    <t>NSE_FO|56984</t>
  </si>
  <si>
    <t>NSE_FO|56985</t>
  </si>
  <si>
    <t>NSE_FO|56998</t>
  </si>
  <si>
    <t>NSE_FO|57008</t>
  </si>
  <si>
    <t>NSE_FO|57009</t>
  </si>
  <si>
    <t>NSE_FO|57019</t>
  </si>
  <si>
    <t>NSE_FO|40038</t>
  </si>
  <si>
    <t>NSE_FO|40039</t>
  </si>
  <si>
    <t>NSE_FO|40040</t>
  </si>
  <si>
    <t>NSE_FO|40041</t>
  </si>
  <si>
    <t>NSE_FO|40042</t>
  </si>
  <si>
    <t>NSE_FO|40046</t>
  </si>
  <si>
    <t>NSE_FO|40047</t>
  </si>
  <si>
    <t>NSE_FO|40048</t>
  </si>
  <si>
    <t>NSE_FO|40049</t>
  </si>
  <si>
    <t>NSE_FO|40050</t>
  </si>
  <si>
    <t>NSE_FO|40051</t>
  </si>
  <si>
    <t>NSE_FO|40057</t>
  </si>
  <si>
    <t>NSE_FO|40058</t>
  </si>
  <si>
    <t>NSE_FO|40059</t>
  </si>
  <si>
    <t>NSE_FO|40060</t>
  </si>
  <si>
    <t>NSE_FO|40061</t>
  </si>
  <si>
    <t>NSE_FO|40062</t>
  </si>
  <si>
    <t>NSE_FO|40069</t>
  </si>
  <si>
    <t>NSE_FO|40070</t>
  </si>
  <si>
    <t>NSE_FO|40071</t>
  </si>
  <si>
    <t>BSE_FO|822384</t>
  </si>
  <si>
    <t>BSE_FO|821857</t>
  </si>
  <si>
    <t>BSE_FO|821915</t>
  </si>
  <si>
    <t>BSE_FO|822061</t>
  </si>
  <si>
    <t>BSE_FO|822424</t>
  </si>
  <si>
    <t>BSE_FO|821899</t>
  </si>
  <si>
    <t>BSE_FO|821957</t>
  </si>
  <si>
    <t>BSE_FO|822402</t>
  </si>
  <si>
    <t>BSE_FO|821798</t>
  </si>
  <si>
    <t>BSE_FO|821938</t>
  </si>
  <si>
    <t>BSE_FO|822299</t>
  </si>
  <si>
    <t>BSE_FO|821780</t>
  </si>
  <si>
    <t>NSE_FO|40072</t>
  </si>
  <si>
    <t>NSE_FO|40073</t>
  </si>
  <si>
    <t>BSE_FO|821839</t>
  </si>
  <si>
    <t>BSE_FO|821978</t>
  </si>
  <si>
    <t>NSE_FO|57022</t>
  </si>
  <si>
    <t>NSE_FO|57089</t>
  </si>
  <si>
    <t>BSE_FO|822224</t>
  </si>
  <si>
    <t>BSE_FO|822371</t>
  </si>
  <si>
    <t>NSE_FO|40074</t>
  </si>
  <si>
    <t>NSE_FO|40075</t>
  </si>
  <si>
    <t>BSE_FO|822063</t>
  </si>
  <si>
    <t>BSE_FO|822204</t>
  </si>
  <si>
    <t>NSE_FO|57125</t>
  </si>
  <si>
    <t>NSE_FO|57126</t>
  </si>
  <si>
    <t>NSE_FO|57246</t>
  </si>
  <si>
    <t>NSE_FO|57247</t>
  </si>
  <si>
    <t>NSE_FO|40076</t>
  </si>
  <si>
    <t>NSE_FO|40077</t>
  </si>
  <si>
    <t>NSE_FO|40078</t>
  </si>
  <si>
    <t>NSE_FO|40079</t>
  </si>
  <si>
    <t>BSE_FO|822270</t>
  </si>
  <si>
    <t>BSE_FO|822414</t>
  </si>
  <si>
    <t>BSE_FO|822101</t>
  </si>
  <si>
    <t>BSE_FO|822245</t>
  </si>
  <si>
    <t>BSE_FO|822315</t>
  </si>
  <si>
    <t>BSE_FO|822080</t>
  </si>
  <si>
    <t>NSE_FO|57269</t>
  </si>
  <si>
    <t>NSE_FO|57342</t>
  </si>
  <si>
    <t>NSE_FO|57484</t>
  </si>
  <si>
    <t>NSE_FO|57536</t>
  </si>
  <si>
    <t>NSE_FO|40080</t>
  </si>
  <si>
    <t>NSE_FO|40082</t>
  </si>
  <si>
    <t>NSE_FO|40083</t>
  </si>
  <si>
    <t>NSE_FO|40085</t>
  </si>
  <si>
    <t>NSE_FO|47293</t>
  </si>
  <si>
    <t>NSE_FO|47294</t>
  </si>
  <si>
    <t>NSE_FO|47295</t>
  </si>
  <si>
    <t>NSE_FO|47296</t>
  </si>
  <si>
    <t>NSE_FO|47297</t>
  </si>
  <si>
    <t>NSE_FO|47298</t>
  </si>
  <si>
    <t>NSE_FO|47299</t>
  </si>
  <si>
    <t>NSE_FO|47300</t>
  </si>
  <si>
    <t>NSE_FO|47301</t>
  </si>
  <si>
    <t>NSE_FO|47302</t>
  </si>
  <si>
    <t>NSE_FO|47303</t>
  </si>
  <si>
    <t>NSE_FO|47306</t>
  </si>
  <si>
    <t>NSE_FO|47308</t>
  </si>
  <si>
    <t>NSE_FO|47309</t>
  </si>
  <si>
    <t>NSE_FO|47310</t>
  </si>
  <si>
    <t>NSE_FO|47311</t>
  </si>
  <si>
    <t>NSE_FO|47313</t>
  </si>
  <si>
    <t>NSE_FO|47314</t>
  </si>
  <si>
    <t>NSE_FO|47315</t>
  </si>
  <si>
    <t>NSE_FO|47316</t>
  </si>
  <si>
    <t>NSE_FO|47317</t>
  </si>
  <si>
    <t>NSE_FO|47332</t>
  </si>
  <si>
    <t>NSE_FO|47333</t>
  </si>
  <si>
    <t>NSE_FO|47334</t>
  </si>
  <si>
    <t>NSE_FO|47335</t>
  </si>
  <si>
    <t>NSE_FO|47336</t>
  </si>
  <si>
    <t>NSE_FO|47337</t>
  </si>
  <si>
    <t>NSE_FO|47341</t>
  </si>
  <si>
    <t>NSE_FO|47342</t>
  </si>
  <si>
    <t>NSE_FO|47353</t>
  </si>
  <si>
    <t>NSE_FO|47355</t>
  </si>
  <si>
    <t>NSE_FO|47356</t>
  </si>
  <si>
    <t>NSE_FO|54087</t>
  </si>
  <si>
    <t>NSE_FO|54088</t>
  </si>
  <si>
    <t>NSE_FO|54089</t>
  </si>
  <si>
    <t>NSE_FO|54090</t>
  </si>
  <si>
    <t>NSE_FO|54091</t>
  </si>
  <si>
    <t>NSE_FO|54092</t>
  </si>
  <si>
    <t>NSE_FO|54093</t>
  </si>
  <si>
    <t>NSE_FO|54094</t>
  </si>
  <si>
    <t>NSE_FO|54095</t>
  </si>
  <si>
    <t>NSE_FO|54096</t>
  </si>
  <si>
    <t>NSE_FO|54097</t>
  </si>
  <si>
    <t>NSE_FO|54098</t>
  </si>
  <si>
    <t>NSE_FO|54099</t>
  </si>
  <si>
    <t>NSE_FO|54100</t>
  </si>
  <si>
    <t>NSE_FO|54101</t>
  </si>
  <si>
    <t>NSE_FO|54102</t>
  </si>
  <si>
    <t>NSE_FO|54103</t>
  </si>
  <si>
    <t>NSE_FO|54104</t>
  </si>
  <si>
    <t>NSE_FO|54105</t>
  </si>
  <si>
    <t>NSE_FO|54108</t>
  </si>
  <si>
    <t>NSE_FO|54109</t>
  </si>
  <si>
    <t>NSE_FO|54112</t>
  </si>
  <si>
    <t>NSE_FO|54113</t>
  </si>
  <si>
    <t>NSE_FO|54114</t>
  </si>
  <si>
    <t>NSE_FO|54115</t>
  </si>
  <si>
    <t>NSE_FO|54116</t>
  </si>
  <si>
    <t>NSE_FO|54117</t>
  </si>
  <si>
    <t>NSE_FO|54118</t>
  </si>
  <si>
    <t>NSE_FO|54119</t>
  </si>
  <si>
    <t>NSE_FO|54120</t>
  </si>
  <si>
    <t>NSE_FO|54121</t>
  </si>
  <si>
    <t>NSE_FO|54123</t>
  </si>
  <si>
    <t>BSE_FO|822149</t>
  </si>
  <si>
    <t>BSE_FO|822292</t>
  </si>
  <si>
    <t>BSE_FO|821985</t>
  </si>
  <si>
    <t>BSE_FO|822122</t>
  </si>
  <si>
    <t>BSE_FO|822188</t>
  </si>
  <si>
    <t>BSE_FO|822339</t>
  </si>
  <si>
    <t>NSE_FO|57544</t>
  </si>
  <si>
    <t>NSE_FO|58033</t>
  </si>
  <si>
    <t>NSE_FO|47357</t>
  </si>
  <si>
    <t>NSE_FO|47358</t>
  </si>
  <si>
    <t>NSE_FO|54124</t>
  </si>
  <si>
    <t>NSE_FO|54126</t>
  </si>
  <si>
    <t>BSE_FO|822030</t>
  </si>
  <si>
    <t>BSE_FO|822169</t>
  </si>
  <si>
    <t>NSE_FO|40086</t>
  </si>
  <si>
    <t>NSE_FO|40087</t>
  </si>
  <si>
    <t>BSE_FO|822230</t>
  </si>
  <si>
    <t>BSE_FO|822006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</si>
</sst>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14" fontId="0" fillId="0" borderId="0" xfId="0" applyNumberFormat="1"/>
    <xf numFmtId="0" fontId="0" fillId="2" borderId="0" xfId="0" applyFill="1"/>
    <xf numFmtId="2" fontId="0" fillId="0" borderId="1" xfId="0" applyNumberFormat="1" applyFill="1" applyBorder="1"/>
    <xf numFmtId="2" fontId="0" fillId="0" borderId="3" xfId="0" applyNumberFormat="1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0" fillId="0" borderId="6" xfId="0" applyFill="1" applyBorder="1"/>
    <xf numFmtId="21" fontId="0" fillId="0" borderId="4" xfId="0" applyNumberFormat="1" applyFill="1" applyBorder="1"/>
    <xf numFmtId="0" fontId="0" fillId="3" borderId="1" xfId="0" applyFill="1" applyBorder="1"/>
    <xf numFmtId="0" fontId="0" fillId="3" borderId="3" xfId="0" applyFill="1" applyBorder="1"/>
    <xf numFmtId="14" fontId="0" fillId="2" borderId="9" xfId="0" applyNumberFormat="1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7" xfId="0" applyFill="1" applyBorder="1"/>
    <xf numFmtId="0" fontId="0" fillId="0" borderId="14" xfId="0" applyFill="1" applyBorder="1"/>
    <xf numFmtId="14" fontId="0" fillId="2" borderId="8" xfId="0" applyNumberFormat="1" applyFill="1" applyBorder="1"/>
    <xf numFmtId="2" fontId="0" fillId="0" borderId="5" xfId="0" applyNumberFormat="1" applyFill="1" applyBorder="1"/>
    <xf numFmtId="2" fontId="0" fillId="0" borderId="2" xfId="0" applyNumberFormat="1" applyFill="1" applyBorder="1"/>
    <xf numFmtId="2" fontId="0" fillId="0" borderId="4" xfId="0" applyNumberFormat="1" applyFill="1" applyBorder="1"/>
    <xf numFmtId="0" fontId="0" fillId="4" borderId="6" xfId="0" applyFill="1" applyBorder="1"/>
    <xf numFmtId="0" fontId="0" fillId="0" borderId="6" xfId="0" applyFill="1" applyBorder="1" applyAlignment="1">
      <alignment horizontal="right"/>
    </xf>
    <xf numFmtId="0" fontId="0" fillId="0" borderId="5" xfId="0" applyNumberFormat="1" applyFill="1" applyBorder="1"/>
    <xf numFmtId="0" fontId="0" fillId="0" borderId="0" xfId="0" applyNumberFormat="1" applyFill="1" applyBorder="1"/>
    <xf numFmtId="0" fontId="0" fillId="0" borderId="0" xfId="0" applyFill="1"/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0" borderId="18" xfId="0" applyFill="1" applyBorder="1"/>
    <xf numFmtId="0" fontId="0" fillId="3" borderId="23" xfId="0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</cellXfs>
  <cellStyles count="1">
    <cellStyle name="Normal" xfId="0" builtinId="0"/>
  </cellStyles>
  <dxfs count="5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669900"/>
      <color rgb="FF79DCFF"/>
      <color rgb="FF3B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3"/>
  <sheetViews>
    <sheetView tabSelected="1" topLeftCell="A22" zoomScale="105" zoomScaleNormal="105" workbookViewId="0">
      <selection activeCell="C45" sqref="C45"/>
    </sheetView>
  </sheetViews>
  <sheetFormatPr defaultColWidth="8.88671875" defaultRowHeight="14.4" x14ac:dyDescent="0.3"/>
  <cols>
    <col min="1" max="1" width="11.6640625" style="9" customWidth="1"/>
    <col min="2" max="2" width="10.109375" style="9" bestFit="1" customWidth="1"/>
    <col min="3" max="3" width="12.5546875" style="9" bestFit="1" customWidth="1"/>
    <col min="4" max="4" width="14.6640625" style="9" customWidth="1"/>
    <col min="5" max="5" width="7.6640625" style="9" customWidth="1"/>
    <col min="6" max="6" width="12.33203125" style="9" customWidth="1"/>
    <col min="7" max="7" width="16" style="9" customWidth="1"/>
    <col min="8" max="8" width="6.5546875" style="9" customWidth="1"/>
    <col min="9" max="9" width="12.33203125" style="9" customWidth="1"/>
    <col min="10" max="10" width="15.6640625" style="9" customWidth="1"/>
    <col min="11" max="11" width="8.33203125" style="9" bestFit="1" customWidth="1"/>
    <col min="12" max="12" width="12" style="9" bestFit="1" customWidth="1"/>
    <col min="13" max="13" width="14.6640625" style="9" bestFit="1" customWidth="1"/>
    <col min="14" max="14" width="8.33203125" style="9" bestFit="1" customWidth="1"/>
    <col min="15" max="15" width="12" style="9" bestFit="1" customWidth="1"/>
    <col min="16" max="16" width="15" style="9" bestFit="1" customWidth="1"/>
    <col min="17" max="17" width="2.33203125" style="9" customWidth="1"/>
    <col min="18" max="16384" width="8.88671875" style="9"/>
  </cols>
  <sheetData>
    <row r="1" spans="1:16" ht="15" thickBot="1" x14ac:dyDescent="0.35">
      <c r="A1" s="17"/>
      <c r="B1" s="5"/>
      <c r="C1" s="42" t="s">
        <v>29</v>
      </c>
      <c r="D1" s="43"/>
      <c r="E1" s="5"/>
      <c r="F1" s="42" t="s">
        <v>29</v>
      </c>
      <c r="G1" s="43"/>
      <c r="H1" s="5"/>
      <c r="I1" s="42" t="s">
        <v>29</v>
      </c>
      <c r="J1" s="43"/>
      <c r="K1" s="5"/>
      <c r="L1" s="42" t="s">
        <v>48</v>
      </c>
      <c r="M1" s="43"/>
      <c r="N1" s="5"/>
      <c r="O1" s="42" t="s">
        <v>49</v>
      </c>
      <c r="P1" s="43"/>
    </row>
    <row r="2" spans="1:16" ht="15" thickBot="1" x14ac:dyDescent="0.35">
      <c r="A2" s="18"/>
      <c r="B2" s="10"/>
      <c r="C2" s="10"/>
      <c r="D2" s="15">
        <v>45841</v>
      </c>
      <c r="E2" s="10"/>
      <c r="F2" s="10"/>
      <c r="G2" s="15">
        <v>45848</v>
      </c>
      <c r="H2" s="10"/>
      <c r="I2" s="10"/>
      <c r="J2" s="15">
        <v>45855</v>
      </c>
      <c r="K2" s="10"/>
      <c r="L2" s="10"/>
      <c r="M2" s="15">
        <v>45869</v>
      </c>
      <c r="N2" s="10"/>
      <c r="O2" s="10"/>
      <c r="P2" s="15">
        <v>45839</v>
      </c>
    </row>
    <row r="3" spans="1:16" x14ac:dyDescent="0.3">
      <c r="A3" s="18"/>
      <c r="B3" s="10"/>
      <c r="C3" s="10" t="s">
        <v>33</v>
      </c>
      <c r="D3" s="11">
        <v>-100.85</v>
      </c>
      <c r="E3" s="10"/>
      <c r="F3" s="10" t="s">
        <v>33</v>
      </c>
      <c r="G3" s="11">
        <v>-220.95</v>
      </c>
      <c r="H3" s="10"/>
      <c r="I3" s="10" t="s">
        <v>33</v>
      </c>
      <c r="J3" s="11">
        <v>-69.25</v>
      </c>
      <c r="K3" s="10"/>
      <c r="L3" s="10" t="s">
        <v>33</v>
      </c>
      <c r="M3" s="11">
        <v>-375.4</v>
      </c>
      <c r="N3" s="10"/>
      <c r="O3" s="10" t="s">
        <v>33</v>
      </c>
      <c r="P3" s="11">
        <v>-576.4</v>
      </c>
    </row>
    <row r="4" spans="1:16" x14ac:dyDescent="0.3">
      <c r="A4" s="18"/>
      <c r="B4" s="10"/>
      <c r="C4" s="10" t="s">
        <v>34</v>
      </c>
      <c r="D4" s="11">
        <v>-271.05</v>
      </c>
      <c r="E4" s="10"/>
      <c r="F4" s="10" t="s">
        <v>34</v>
      </c>
      <c r="G4" s="11">
        <v>-139.44999999999999</v>
      </c>
      <c r="H4" s="10"/>
      <c r="I4" s="10" t="s">
        <v>34</v>
      </c>
      <c r="J4" s="11">
        <v>-313.5</v>
      </c>
      <c r="K4" s="10"/>
      <c r="L4" s="10" t="s">
        <v>34</v>
      </c>
      <c r="M4" s="11">
        <v>-154.85</v>
      </c>
      <c r="N4" s="10"/>
      <c r="O4" s="10" t="s">
        <v>34</v>
      </c>
      <c r="P4" s="11">
        <v>-591.4</v>
      </c>
    </row>
    <row r="5" spans="1:16" x14ac:dyDescent="0.3">
      <c r="A5" s="18"/>
      <c r="B5" s="10"/>
      <c r="C5" s="10" t="s">
        <v>35</v>
      </c>
      <c r="D5" s="11">
        <v>-11.1</v>
      </c>
      <c r="E5" s="10"/>
      <c r="F5" s="10" t="s">
        <v>35</v>
      </c>
      <c r="G5" s="11">
        <v>-4.32</v>
      </c>
      <c r="H5" s="10"/>
      <c r="I5" s="10" t="s">
        <v>35</v>
      </c>
      <c r="J5" s="11">
        <v>2.59</v>
      </c>
      <c r="K5" s="10"/>
      <c r="L5" s="10" t="s">
        <v>35</v>
      </c>
      <c r="M5" s="11">
        <v>-1.31</v>
      </c>
      <c r="N5" s="10"/>
      <c r="O5" s="10" t="s">
        <v>35</v>
      </c>
      <c r="P5" s="11">
        <v>-59.36</v>
      </c>
    </row>
    <row r="6" spans="1:16" x14ac:dyDescent="0.3">
      <c r="A6" s="18"/>
      <c r="B6" s="10"/>
      <c r="C6" s="10" t="s">
        <v>36</v>
      </c>
      <c r="D6" s="11">
        <v>-22.28</v>
      </c>
      <c r="E6" s="10"/>
      <c r="F6" s="10" t="s">
        <v>36</v>
      </c>
      <c r="G6" s="11">
        <v>-13.16</v>
      </c>
      <c r="H6" s="10"/>
      <c r="I6" s="10" t="s">
        <v>36</v>
      </c>
      <c r="J6" s="11">
        <v>-3.38</v>
      </c>
      <c r="K6" s="10"/>
      <c r="L6" s="10" t="s">
        <v>36</v>
      </c>
      <c r="M6" s="11">
        <v>-1.1000000000000001</v>
      </c>
      <c r="N6" s="10"/>
      <c r="O6" s="10" t="s">
        <v>36</v>
      </c>
      <c r="P6" s="11">
        <v>-80.81</v>
      </c>
    </row>
    <row r="7" spans="1:16" x14ac:dyDescent="0.3">
      <c r="A7" s="18"/>
      <c r="B7" s="10"/>
      <c r="C7" s="10" t="s">
        <v>37</v>
      </c>
      <c r="D7" s="11">
        <v>-1.41</v>
      </c>
      <c r="E7" s="10"/>
      <c r="F7" s="10" t="s">
        <v>37</v>
      </c>
      <c r="G7" s="11">
        <v>-2.0499999999999998</v>
      </c>
      <c r="H7" s="10"/>
      <c r="I7" s="10" t="s">
        <v>37</v>
      </c>
      <c r="J7" s="11">
        <v>-3.06</v>
      </c>
      <c r="K7" s="10"/>
      <c r="L7" s="10" t="s">
        <v>37</v>
      </c>
      <c r="M7" s="11">
        <v>-2.38</v>
      </c>
      <c r="N7" s="10"/>
      <c r="O7" s="10" t="s">
        <v>37</v>
      </c>
      <c r="P7" s="11">
        <v>-19.2</v>
      </c>
    </row>
    <row r="8" spans="1:16" x14ac:dyDescent="0.3">
      <c r="A8" s="18"/>
      <c r="B8" s="10"/>
      <c r="C8" s="10" t="s">
        <v>38</v>
      </c>
      <c r="D8" s="11">
        <v>-10.44</v>
      </c>
      <c r="E8" s="10"/>
      <c r="F8" s="10" t="s">
        <v>38</v>
      </c>
      <c r="G8" s="11">
        <v>-3.89</v>
      </c>
      <c r="H8" s="10"/>
      <c r="I8" s="10" t="s">
        <v>38</v>
      </c>
      <c r="J8" s="11">
        <v>22.48</v>
      </c>
      <c r="K8" s="10"/>
      <c r="L8" s="10" t="s">
        <v>38</v>
      </c>
      <c r="M8" s="11">
        <v>4.0999999999999996</v>
      </c>
      <c r="N8" s="10"/>
      <c r="O8" s="10" t="s">
        <v>38</v>
      </c>
      <c r="P8" s="11">
        <v>-17.82</v>
      </c>
    </row>
    <row r="9" spans="1:16" x14ac:dyDescent="0.3">
      <c r="A9" s="18"/>
      <c r="B9" s="10"/>
      <c r="C9" s="10" t="s">
        <v>39</v>
      </c>
      <c r="D9" s="11">
        <v>-14.47</v>
      </c>
      <c r="E9" s="10"/>
      <c r="F9" s="10" t="s">
        <v>39</v>
      </c>
      <c r="G9" s="11">
        <v>-6.22</v>
      </c>
      <c r="H9" s="10"/>
      <c r="I9" s="10" t="s">
        <v>39</v>
      </c>
      <c r="J9" s="11">
        <v>5.04</v>
      </c>
      <c r="K9" s="10"/>
      <c r="L9" s="10" t="s">
        <v>39</v>
      </c>
      <c r="M9" s="11">
        <v>-1.56</v>
      </c>
      <c r="N9" s="10"/>
      <c r="O9" s="10" t="s">
        <v>39</v>
      </c>
      <c r="P9" s="11">
        <v>-14.02</v>
      </c>
    </row>
    <row r="10" spans="1:16" ht="15" thickBot="1" x14ac:dyDescent="0.35">
      <c r="A10" s="18"/>
      <c r="B10" s="10"/>
      <c r="C10" s="10" t="s">
        <v>40</v>
      </c>
      <c r="D10" s="11">
        <v>-16.16</v>
      </c>
      <c r="E10" s="10"/>
      <c r="F10" s="10" t="s">
        <v>40</v>
      </c>
      <c r="G10" s="11">
        <v>-18.100000000000001</v>
      </c>
      <c r="H10" s="10"/>
      <c r="I10" s="10" t="s">
        <v>40</v>
      </c>
      <c r="J10" s="11">
        <v>-7.45</v>
      </c>
      <c r="K10" s="10"/>
      <c r="L10" s="10" t="s">
        <v>40</v>
      </c>
      <c r="M10" s="11">
        <v>-2.5499999999999998</v>
      </c>
      <c r="N10" s="10"/>
      <c r="O10" s="10" t="s">
        <v>40</v>
      </c>
      <c r="P10" s="11">
        <v>-19.45</v>
      </c>
    </row>
    <row r="11" spans="1:16" x14ac:dyDescent="0.3">
      <c r="A11" s="18"/>
      <c r="B11" s="3">
        <f>D11/D12</f>
        <v>0.61412681845970929</v>
      </c>
      <c r="C11" s="13" t="s">
        <v>41</v>
      </c>
      <c r="D11" s="6">
        <v>13636425</v>
      </c>
      <c r="E11" s="3">
        <f>G11/G12</f>
        <v>0.75655560965430901</v>
      </c>
      <c r="F11" s="13" t="s">
        <v>41</v>
      </c>
      <c r="G11" s="6">
        <v>815775</v>
      </c>
      <c r="H11" s="3">
        <f>J11/J12</f>
        <v>1.0926174496644296</v>
      </c>
      <c r="I11" s="13" t="s">
        <v>41</v>
      </c>
      <c r="J11" s="6">
        <v>61050</v>
      </c>
      <c r="K11" s="3">
        <f>M11/M12</f>
        <v>-8.9894662921348321</v>
      </c>
      <c r="L11" s="13" t="s">
        <v>41</v>
      </c>
      <c r="M11" s="24">
        <v>448035</v>
      </c>
      <c r="N11" s="3">
        <f>P11/P12</f>
        <v>0.44908331676277591</v>
      </c>
      <c r="O11" s="13" t="s">
        <v>41</v>
      </c>
      <c r="P11" s="6">
        <v>1129220</v>
      </c>
    </row>
    <row r="12" spans="1:16" ht="15" thickBot="1" x14ac:dyDescent="0.35">
      <c r="A12" s="18"/>
      <c r="B12" s="4">
        <f>D12/D11</f>
        <v>1.6283281725232237</v>
      </c>
      <c r="C12" s="14" t="s">
        <v>42</v>
      </c>
      <c r="D12" s="8">
        <v>22204575</v>
      </c>
      <c r="E12" s="4">
        <f>G12/G11</f>
        <v>1.3217799025466581</v>
      </c>
      <c r="F12" s="14" t="s">
        <v>42</v>
      </c>
      <c r="G12" s="8">
        <v>1078275</v>
      </c>
      <c r="H12" s="4">
        <f>J12/J11</f>
        <v>0.91523341523341528</v>
      </c>
      <c r="I12" s="14" t="s">
        <v>42</v>
      </c>
      <c r="J12" s="8">
        <v>55875</v>
      </c>
      <c r="K12" s="4">
        <f>M12/M11</f>
        <v>-0.11124130927271307</v>
      </c>
      <c r="L12" s="14" t="s">
        <v>42</v>
      </c>
      <c r="M12" s="25">
        <v>-49840</v>
      </c>
      <c r="N12" s="4">
        <f>P12/P11</f>
        <v>2.2267582933352226</v>
      </c>
      <c r="O12" s="14" t="s">
        <v>42</v>
      </c>
      <c r="P12" s="8">
        <v>2514500</v>
      </c>
    </row>
    <row r="13" spans="1:16" x14ac:dyDescent="0.3">
      <c r="A13" s="18"/>
      <c r="B13" s="10"/>
      <c r="C13" s="10" t="s">
        <v>0</v>
      </c>
      <c r="D13" s="11">
        <v>-11</v>
      </c>
      <c r="E13" s="10"/>
      <c r="F13" s="10" t="s">
        <v>0</v>
      </c>
      <c r="G13" s="11">
        <v>-31</v>
      </c>
      <c r="H13" s="10"/>
      <c r="I13" s="10" t="s">
        <v>0</v>
      </c>
      <c r="J13" s="11">
        <v>1</v>
      </c>
      <c r="K13" s="23"/>
      <c r="L13" s="10" t="s">
        <v>0</v>
      </c>
      <c r="M13" s="11">
        <v>-51</v>
      </c>
      <c r="N13" s="10"/>
      <c r="O13" s="10" t="s">
        <v>0</v>
      </c>
      <c r="P13" s="11">
        <v>-88</v>
      </c>
    </row>
    <row r="14" spans="1:16" x14ac:dyDescent="0.3">
      <c r="A14" s="18"/>
      <c r="B14" s="10"/>
      <c r="C14" s="10" t="s">
        <v>1</v>
      </c>
      <c r="D14" s="11">
        <v>-40</v>
      </c>
      <c r="E14" s="10"/>
      <c r="F14" s="10" t="s">
        <v>1</v>
      </c>
      <c r="G14" s="11">
        <v>-14</v>
      </c>
      <c r="H14" s="10"/>
      <c r="I14" s="10" t="s">
        <v>1</v>
      </c>
      <c r="J14" s="11">
        <v>-39</v>
      </c>
      <c r="K14" s="10"/>
      <c r="L14" s="10" t="s">
        <v>1</v>
      </c>
      <c r="M14" s="11">
        <v>-22</v>
      </c>
      <c r="N14" s="10"/>
      <c r="O14" s="10" t="s">
        <v>1</v>
      </c>
      <c r="P14" s="11">
        <v>-66</v>
      </c>
    </row>
    <row r="15" spans="1:16" x14ac:dyDescent="0.3">
      <c r="A15" s="18"/>
      <c r="B15" s="10"/>
      <c r="C15" s="10" t="s">
        <v>43</v>
      </c>
      <c r="D15" s="26">
        <v>-51</v>
      </c>
      <c r="E15" s="10"/>
      <c r="F15" s="10" t="s">
        <v>43</v>
      </c>
      <c r="G15" s="26">
        <v>-45</v>
      </c>
      <c r="H15" s="10"/>
      <c r="I15" s="10" t="s">
        <v>43</v>
      </c>
      <c r="J15" s="26">
        <v>-38</v>
      </c>
      <c r="K15" s="10"/>
      <c r="L15" s="10" t="s">
        <v>43</v>
      </c>
      <c r="M15" s="26">
        <v>-73</v>
      </c>
      <c r="N15" s="10"/>
      <c r="O15" s="10" t="s">
        <v>43</v>
      </c>
      <c r="P15" s="26">
        <v>-154</v>
      </c>
    </row>
    <row r="16" spans="1:16" x14ac:dyDescent="0.3">
      <c r="A16" s="18"/>
      <c r="B16" s="10"/>
      <c r="C16" s="10" t="s">
        <v>32</v>
      </c>
      <c r="D16" s="11">
        <v>29.15</v>
      </c>
      <c r="E16" s="10"/>
      <c r="F16" s="10" t="s">
        <v>32</v>
      </c>
      <c r="G16" s="11">
        <v>34.15</v>
      </c>
      <c r="H16" s="10"/>
      <c r="I16" s="10" t="s">
        <v>32</v>
      </c>
      <c r="J16" s="11">
        <v>137.25</v>
      </c>
      <c r="K16" s="10"/>
      <c r="L16" s="10" t="s">
        <v>32</v>
      </c>
      <c r="M16" s="11">
        <v>277.75</v>
      </c>
      <c r="N16" s="10"/>
      <c r="O16" s="10" t="s">
        <v>32</v>
      </c>
      <c r="P16" s="11">
        <v>73.5</v>
      </c>
    </row>
    <row r="17" spans="1:16" x14ac:dyDescent="0.3">
      <c r="A17" s="18"/>
      <c r="B17" s="10"/>
      <c r="C17" s="10" t="s">
        <v>50</v>
      </c>
      <c r="D17" s="11">
        <v>-0.28999999999999998</v>
      </c>
      <c r="E17" s="10"/>
      <c r="F17" s="10" t="s">
        <v>50</v>
      </c>
      <c r="G17" s="11">
        <v>-0.27</v>
      </c>
      <c r="H17" s="10"/>
      <c r="I17" s="10" t="s">
        <v>50</v>
      </c>
      <c r="J17" s="11">
        <v>-0.27</v>
      </c>
      <c r="K17" s="10"/>
      <c r="L17" s="10" t="s">
        <v>50</v>
      </c>
      <c r="M17" s="11">
        <v>-0.28000000000000003</v>
      </c>
      <c r="N17" s="10"/>
      <c r="O17" s="10" t="s">
        <v>50</v>
      </c>
      <c r="P17" s="11">
        <v>-0.26</v>
      </c>
    </row>
    <row r="18" spans="1:16" ht="15" thickBot="1" x14ac:dyDescent="0.35">
      <c r="A18" s="19"/>
      <c r="B18" s="10"/>
      <c r="C18" s="7" t="s">
        <v>30</v>
      </c>
      <c r="D18" s="12">
        <v>0.59244212962962961</v>
      </c>
      <c r="E18" s="10"/>
      <c r="F18" s="7" t="s">
        <v>30</v>
      </c>
      <c r="G18" s="12">
        <v>0.59245370370370376</v>
      </c>
      <c r="H18" s="10"/>
      <c r="I18" s="7" t="s">
        <v>30</v>
      </c>
      <c r="J18" s="12">
        <v>0.5924652777777778</v>
      </c>
      <c r="K18" s="10"/>
      <c r="L18" s="7" t="s">
        <v>30</v>
      </c>
      <c r="M18" s="12">
        <v>0.59247685185185184</v>
      </c>
      <c r="N18" s="10"/>
      <c r="O18" s="7" t="s">
        <v>30</v>
      </c>
      <c r="P18" s="12">
        <v>0.59248842592592588</v>
      </c>
    </row>
    <row r="19" spans="1:16" ht="15" thickBot="1" x14ac:dyDescent="0.35">
      <c r="B19" s="10"/>
      <c r="C19" s="10"/>
      <c r="D19" s="11"/>
      <c r="E19" s="10"/>
      <c r="G19" s="11"/>
      <c r="H19" s="10"/>
      <c r="J19" s="11"/>
      <c r="K19" s="10"/>
      <c r="M19" s="11"/>
      <c r="N19" s="10"/>
      <c r="P19" s="11"/>
    </row>
    <row r="20" spans="1:16" ht="15" thickBot="1" x14ac:dyDescent="0.35">
      <c r="A20" s="17"/>
      <c r="B20" s="20" t="s">
        <v>23</v>
      </c>
      <c r="C20" s="21" t="s">
        <v>24</v>
      </c>
      <c r="D20" s="15">
        <v>45827</v>
      </c>
      <c r="E20" s="20" t="s">
        <v>25</v>
      </c>
      <c r="F20" s="21" t="s">
        <v>26</v>
      </c>
      <c r="G20" s="15">
        <v>45834</v>
      </c>
      <c r="H20" s="20" t="s">
        <v>27</v>
      </c>
      <c r="I20" s="21" t="s">
        <v>28</v>
      </c>
      <c r="J20" s="22">
        <v>45841</v>
      </c>
      <c r="K20" s="20" t="s">
        <v>44</v>
      </c>
      <c r="L20" s="21" t="s">
        <v>45</v>
      </c>
      <c r="M20" s="15">
        <v>45834</v>
      </c>
      <c r="N20" s="20" t="s">
        <v>46</v>
      </c>
      <c r="O20" s="21" t="s">
        <v>47</v>
      </c>
      <c r="P20" s="15">
        <v>45825</v>
      </c>
    </row>
    <row r="21" spans="1:16" x14ac:dyDescent="0.3">
      <c r="A21" s="18" t="s">
        <v>33</v>
      </c>
      <c r="B21" s="10">
        <v>1150.45</v>
      </c>
      <c r="C21" s="9">
        <v>1139.25</v>
      </c>
      <c r="D21" s="11">
        <v>-11.200000000000045</v>
      </c>
      <c r="E21" s="10">
        <v>2245.25</v>
      </c>
      <c r="F21" s="9">
        <v>2043.15</v>
      </c>
      <c r="G21" s="11">
        <v>-202.09999999999991</v>
      </c>
      <c r="H21" s="10">
        <v>2503</v>
      </c>
      <c r="I21" s="9">
        <v>2714.25</v>
      </c>
      <c r="J21" s="11">
        <v>211.25</v>
      </c>
      <c r="K21" s="10">
        <v>5296.15</v>
      </c>
      <c r="L21" s="9">
        <v>5543.95</v>
      </c>
      <c r="M21" s="11">
        <v>247.80000000000018</v>
      </c>
      <c r="N21" s="10">
        <v>4439.8</v>
      </c>
      <c r="O21" s="9">
        <v>3345.75</v>
      </c>
      <c r="P21" s="11">
        <v>-1094.0500000000002</v>
      </c>
    </row>
    <row r="22" spans="1:16" x14ac:dyDescent="0.3">
      <c r="A22" s="18" t="s">
        <v>34</v>
      </c>
      <c r="B22" s="10">
        <v>1469.2</v>
      </c>
      <c r="C22" s="9">
        <v>1285.05</v>
      </c>
      <c r="D22" s="11">
        <v>-184.15000000000009</v>
      </c>
      <c r="E22" s="10">
        <v>2158.35</v>
      </c>
      <c r="F22" s="9">
        <v>2223.25</v>
      </c>
      <c r="G22" s="11">
        <v>64.900000000000091</v>
      </c>
      <c r="H22" s="10">
        <v>3265.55</v>
      </c>
      <c r="I22" s="9">
        <v>3122.2</v>
      </c>
      <c r="J22" s="11">
        <v>-143.35000000000036</v>
      </c>
      <c r="K22" s="10">
        <v>5755.45</v>
      </c>
      <c r="L22" s="9">
        <v>5635.8</v>
      </c>
      <c r="M22" s="11">
        <v>-119.64999999999964</v>
      </c>
      <c r="N22" s="10">
        <v>4456.75</v>
      </c>
      <c r="O22" s="9">
        <v>3743.3</v>
      </c>
      <c r="P22" s="11">
        <v>-713.44999999999982</v>
      </c>
    </row>
    <row r="23" spans="1:16" x14ac:dyDescent="0.3">
      <c r="A23" s="18" t="s">
        <v>35</v>
      </c>
      <c r="B23" s="10">
        <v>-151.47999999999999</v>
      </c>
      <c r="C23" s="9">
        <v>-147.25</v>
      </c>
      <c r="D23" s="11">
        <v>-4.2299999999999898</v>
      </c>
      <c r="E23" s="10">
        <v>-143.06</v>
      </c>
      <c r="F23" s="9">
        <v>-116.11</v>
      </c>
      <c r="G23" s="11">
        <v>-26.950000000000003</v>
      </c>
      <c r="H23" s="10">
        <v>-116.14</v>
      </c>
      <c r="I23" s="9">
        <v>-97.62</v>
      </c>
      <c r="J23" s="11">
        <v>-18.519999999999996</v>
      </c>
      <c r="K23" s="10">
        <v>-281.13</v>
      </c>
      <c r="L23" s="9">
        <v>-296.52999999999997</v>
      </c>
      <c r="M23" s="11">
        <v>15.399999999999977</v>
      </c>
      <c r="N23" s="10">
        <v>-690.05</v>
      </c>
      <c r="O23" s="9">
        <v>-619.87</v>
      </c>
      <c r="P23" s="11">
        <v>-70.17999999999995</v>
      </c>
    </row>
    <row r="24" spans="1:16" x14ac:dyDescent="0.3">
      <c r="A24" s="18" t="s">
        <v>36</v>
      </c>
      <c r="B24" s="10">
        <v>-192.82</v>
      </c>
      <c r="C24" s="9">
        <v>-181.95</v>
      </c>
      <c r="D24" s="11">
        <v>-10.870000000000005</v>
      </c>
      <c r="E24" s="10">
        <v>-92.64</v>
      </c>
      <c r="F24" s="9">
        <v>-128.69999999999999</v>
      </c>
      <c r="G24" s="11">
        <v>36.059999999999988</v>
      </c>
      <c r="H24" s="10">
        <v>-67.78</v>
      </c>
      <c r="I24" s="9">
        <v>-107.99</v>
      </c>
      <c r="J24" s="11">
        <v>40.209999999999994</v>
      </c>
      <c r="K24" s="10">
        <v>-305.47000000000003</v>
      </c>
      <c r="L24" s="9">
        <v>-311.68</v>
      </c>
      <c r="M24" s="11">
        <v>6.2099999999999795</v>
      </c>
      <c r="N24" s="10">
        <v>-800.3</v>
      </c>
      <c r="O24" s="9">
        <v>-705.95</v>
      </c>
      <c r="P24" s="11">
        <v>-94.349999999999909</v>
      </c>
    </row>
    <row r="25" spans="1:16" x14ac:dyDescent="0.3">
      <c r="A25" s="18" t="s">
        <v>37</v>
      </c>
      <c r="B25" s="10">
        <v>129.25</v>
      </c>
      <c r="C25" s="9">
        <v>133.13999999999999</v>
      </c>
      <c r="D25" s="11">
        <v>3.8899999999999864</v>
      </c>
      <c r="E25" s="10">
        <v>218.01</v>
      </c>
      <c r="F25" s="9">
        <v>216.02</v>
      </c>
      <c r="G25" s="11">
        <v>-1.9899999999999807</v>
      </c>
      <c r="H25" s="10">
        <v>255.54</v>
      </c>
      <c r="I25" s="9">
        <v>276.8</v>
      </c>
      <c r="J25" s="11">
        <v>21.260000000000019</v>
      </c>
      <c r="K25" s="10">
        <v>502.72</v>
      </c>
      <c r="L25" s="9">
        <v>508.16</v>
      </c>
      <c r="M25" s="11">
        <v>5.4399999999999977</v>
      </c>
      <c r="N25" s="10">
        <v>413.34</v>
      </c>
      <c r="O25" s="9">
        <v>389.09</v>
      </c>
      <c r="P25" s="11">
        <v>-24.25</v>
      </c>
    </row>
    <row r="26" spans="1:16" x14ac:dyDescent="0.3">
      <c r="A26" s="18" t="s">
        <v>38</v>
      </c>
      <c r="B26" s="10">
        <v>140.22999999999999</v>
      </c>
      <c r="C26" s="9">
        <v>133.94</v>
      </c>
      <c r="D26" s="11">
        <v>-6.289999999999992</v>
      </c>
      <c r="E26" s="10">
        <v>205.74</v>
      </c>
      <c r="F26" s="9">
        <v>216.77</v>
      </c>
      <c r="G26" s="11">
        <v>11.030000000000001</v>
      </c>
      <c r="H26" s="10">
        <v>277.39999999999998</v>
      </c>
      <c r="I26" s="9">
        <v>280.14999999999998</v>
      </c>
      <c r="J26" s="11">
        <v>2.75</v>
      </c>
      <c r="K26" s="10">
        <v>505.01</v>
      </c>
      <c r="L26" s="9">
        <v>501.13</v>
      </c>
      <c r="M26" s="11">
        <v>-3.8799999999999955</v>
      </c>
      <c r="N26" s="10">
        <v>388.13</v>
      </c>
      <c r="O26" s="9">
        <v>389.64</v>
      </c>
      <c r="P26" s="11">
        <v>1.5099999999999909</v>
      </c>
    </row>
    <row r="27" spans="1:16" x14ac:dyDescent="0.3">
      <c r="A27" s="18" t="s">
        <v>39</v>
      </c>
      <c r="B27" s="10">
        <v>189.73</v>
      </c>
      <c r="C27" s="9">
        <v>178.58</v>
      </c>
      <c r="D27" s="11">
        <v>-11.149999999999977</v>
      </c>
      <c r="E27" s="10">
        <v>223.78</v>
      </c>
      <c r="F27" s="9">
        <v>184.24</v>
      </c>
      <c r="G27" s="11">
        <v>-39.539999999999992</v>
      </c>
      <c r="H27" s="10">
        <v>238.42</v>
      </c>
      <c r="I27" s="9">
        <v>185.03</v>
      </c>
      <c r="J27" s="11">
        <v>-53.389999999999986</v>
      </c>
      <c r="K27" s="10">
        <v>192.42</v>
      </c>
      <c r="L27" s="9">
        <v>200.22</v>
      </c>
      <c r="M27" s="11">
        <v>7.8000000000000114</v>
      </c>
      <c r="N27" s="10">
        <v>184.87</v>
      </c>
      <c r="O27" s="9">
        <v>174.28</v>
      </c>
      <c r="P27" s="11">
        <v>-10.590000000000003</v>
      </c>
    </row>
    <row r="28" spans="1:16" x14ac:dyDescent="0.3">
      <c r="A28" s="18" t="s">
        <v>40</v>
      </c>
      <c r="B28" s="10">
        <v>225.49</v>
      </c>
      <c r="C28" s="9">
        <v>221.43</v>
      </c>
      <c r="D28" s="11">
        <v>-4.0600000000000023</v>
      </c>
      <c r="E28" s="10">
        <v>155.30000000000001</v>
      </c>
      <c r="F28" s="9">
        <v>204.57</v>
      </c>
      <c r="G28" s="11">
        <v>49.269999999999982</v>
      </c>
      <c r="H28" s="10">
        <v>126.24</v>
      </c>
      <c r="I28" s="9">
        <v>202.84</v>
      </c>
      <c r="J28" s="11">
        <v>76.600000000000009</v>
      </c>
      <c r="K28" s="10">
        <v>209.13</v>
      </c>
      <c r="L28" s="9">
        <v>214.06</v>
      </c>
      <c r="M28" s="11">
        <v>4.9300000000000068</v>
      </c>
      <c r="N28" s="10">
        <v>229</v>
      </c>
      <c r="O28" s="9">
        <v>199.2</v>
      </c>
      <c r="P28" s="11">
        <v>-29.800000000000011</v>
      </c>
    </row>
    <row r="29" spans="1:16" x14ac:dyDescent="0.3">
      <c r="A29" s="18" t="s">
        <v>41</v>
      </c>
      <c r="B29" s="28">
        <v>1618050</v>
      </c>
      <c r="C29" s="29">
        <v>11615625</v>
      </c>
      <c r="D29" s="27" t="s">
        <v>156</v>
      </c>
      <c r="E29" s="10">
        <v>2582700</v>
      </c>
      <c r="F29" s="9">
        <v>4752375</v>
      </c>
      <c r="G29" s="27" t="s">
        <v>158</v>
      </c>
      <c r="H29" s="10">
        <v>173775</v>
      </c>
      <c r="I29" s="9">
        <v>115575</v>
      </c>
      <c r="J29" s="27" t="s">
        <v>162</v>
      </c>
      <c r="K29" s="10">
        <v>2568330</v>
      </c>
      <c r="L29" s="9">
        <v>2757390</v>
      </c>
      <c r="M29" s="27" t="s">
        <v>159</v>
      </c>
      <c r="N29" s="10">
        <v>64780</v>
      </c>
      <c r="O29" s="9">
        <v>1178320</v>
      </c>
      <c r="P29" s="27" t="s">
        <v>164</v>
      </c>
    </row>
    <row r="30" spans="1:16" x14ac:dyDescent="0.3">
      <c r="A30" s="18" t="s">
        <v>42</v>
      </c>
      <c r="B30" s="28">
        <v>6762300</v>
      </c>
      <c r="C30" s="29">
        <v>16550100</v>
      </c>
      <c r="D30" s="27" t="s">
        <v>157</v>
      </c>
      <c r="E30" s="10">
        <v>6765300</v>
      </c>
      <c r="F30" s="9">
        <v>8649000</v>
      </c>
      <c r="G30" s="27" t="s">
        <v>160</v>
      </c>
      <c r="H30" s="10">
        <v>117450</v>
      </c>
      <c r="I30" s="9">
        <v>313650</v>
      </c>
      <c r="J30" s="27" t="s">
        <v>163</v>
      </c>
      <c r="K30" s="10">
        <v>1363260</v>
      </c>
      <c r="L30" s="9">
        <v>1558320</v>
      </c>
      <c r="M30" s="27" t="s">
        <v>161</v>
      </c>
      <c r="N30" s="10">
        <v>573920</v>
      </c>
      <c r="O30" s="9">
        <v>1932100</v>
      </c>
      <c r="P30" s="27" t="s">
        <v>165</v>
      </c>
    </row>
    <row r="31" spans="1:16" x14ac:dyDescent="0.3">
      <c r="A31" s="18" t="s">
        <v>0</v>
      </c>
      <c r="B31" s="10">
        <v>197.6</v>
      </c>
      <c r="C31" s="9">
        <v>196.85</v>
      </c>
      <c r="D31" s="11">
        <v>-0.75</v>
      </c>
      <c r="E31" s="10">
        <v>279.85000000000002</v>
      </c>
      <c r="F31" s="9">
        <v>278.95</v>
      </c>
      <c r="G31" s="11">
        <v>-0.90000000000003411</v>
      </c>
      <c r="H31" s="10">
        <v>320.75</v>
      </c>
      <c r="I31" s="9">
        <v>339.9</v>
      </c>
      <c r="J31" s="11">
        <v>19.149999999999977</v>
      </c>
      <c r="K31" s="10">
        <v>673.65</v>
      </c>
      <c r="L31" s="9">
        <v>683.95</v>
      </c>
      <c r="M31" s="11">
        <v>10.300000000000068</v>
      </c>
      <c r="N31" s="10">
        <v>606.65</v>
      </c>
      <c r="O31" s="9">
        <v>487.35</v>
      </c>
      <c r="P31" s="11">
        <v>-119.29999999999995</v>
      </c>
    </row>
    <row r="32" spans="1:16" x14ac:dyDescent="0.3">
      <c r="A32" s="18" t="s">
        <v>1</v>
      </c>
      <c r="B32" s="10">
        <v>208.6</v>
      </c>
      <c r="C32" s="9">
        <v>186.15</v>
      </c>
      <c r="D32" s="11">
        <v>-22.449999999999989</v>
      </c>
      <c r="E32" s="10">
        <v>286.75</v>
      </c>
      <c r="F32" s="9">
        <v>275.85000000000002</v>
      </c>
      <c r="G32" s="11">
        <v>-10.899999999999977</v>
      </c>
      <c r="H32" s="10">
        <v>335.35</v>
      </c>
      <c r="I32" s="9">
        <v>362.95</v>
      </c>
      <c r="J32" s="11">
        <v>27.599999999999966</v>
      </c>
      <c r="K32" s="10">
        <v>651.25</v>
      </c>
      <c r="L32" s="9">
        <v>650</v>
      </c>
      <c r="M32" s="11">
        <v>-1.25</v>
      </c>
      <c r="N32" s="10">
        <v>565.75</v>
      </c>
      <c r="O32" s="9">
        <v>485.55</v>
      </c>
      <c r="P32" s="11">
        <v>-80.199999999999989</v>
      </c>
    </row>
    <row r="33" spans="1:16" x14ac:dyDescent="0.3">
      <c r="A33" s="18" t="s">
        <v>31</v>
      </c>
      <c r="B33" s="10">
        <v>406.2</v>
      </c>
      <c r="C33" s="9">
        <v>383</v>
      </c>
      <c r="D33" s="11">
        <v>-23.199999999999989</v>
      </c>
      <c r="E33" s="10">
        <v>566.6</v>
      </c>
      <c r="F33" s="9">
        <v>554.79999999999995</v>
      </c>
      <c r="G33" s="11">
        <v>-11.800000000000068</v>
      </c>
      <c r="H33" s="10">
        <v>656.1</v>
      </c>
      <c r="I33" s="9">
        <v>702.84999999999991</v>
      </c>
      <c r="J33" s="11">
        <v>46.749999999999886</v>
      </c>
      <c r="K33" s="10">
        <v>1324.9</v>
      </c>
      <c r="L33" s="9">
        <v>1333.95</v>
      </c>
      <c r="M33" s="11">
        <v>9.0499999999999545</v>
      </c>
      <c r="N33" s="10">
        <v>1172.4000000000001</v>
      </c>
      <c r="O33" s="9">
        <v>972.90000000000009</v>
      </c>
      <c r="P33" s="11">
        <v>-199.5</v>
      </c>
    </row>
    <row r="34" spans="1:16" x14ac:dyDescent="0.3">
      <c r="A34" s="18" t="s">
        <v>32</v>
      </c>
      <c r="B34" s="10">
        <v>24589</v>
      </c>
      <c r="C34" s="9">
        <v>24660.7</v>
      </c>
      <c r="D34" s="11">
        <v>71.700000000000728</v>
      </c>
      <c r="E34" s="10">
        <v>24638.9</v>
      </c>
      <c r="F34" s="9">
        <v>24704.1</v>
      </c>
      <c r="G34" s="11">
        <v>65.19999999999709</v>
      </c>
      <c r="H34" s="10">
        <v>24966.9</v>
      </c>
      <c r="I34" s="9">
        <v>24737.55</v>
      </c>
      <c r="J34" s="11">
        <v>-229.35000000000218</v>
      </c>
      <c r="K34" s="10">
        <v>55720</v>
      </c>
      <c r="L34" s="9">
        <v>55634.7</v>
      </c>
      <c r="M34" s="11">
        <v>-85.30000000000291</v>
      </c>
      <c r="N34" s="10">
        <v>80740.899999999994</v>
      </c>
      <c r="O34" s="9">
        <v>80905.25</v>
      </c>
      <c r="P34" s="11">
        <v>164.35000000000582</v>
      </c>
    </row>
    <row r="35" spans="1:16" ht="15" thickBot="1" x14ac:dyDescent="0.35">
      <c r="A35" s="19" t="s">
        <v>51</v>
      </c>
      <c r="B35" s="7">
        <v>15.17</v>
      </c>
      <c r="C35" s="16">
        <v>15.19</v>
      </c>
      <c r="D35" s="8">
        <v>1.9999999999999574E-2</v>
      </c>
      <c r="E35" s="7">
        <v>15.17</v>
      </c>
      <c r="F35" s="16">
        <v>15.2</v>
      </c>
      <c r="G35" s="8">
        <v>2.9999999999999361E-2</v>
      </c>
      <c r="H35" s="7">
        <v>15.17</v>
      </c>
      <c r="I35" s="16">
        <v>15.2</v>
      </c>
      <c r="J35" s="8">
        <v>2.9999999999999361E-2</v>
      </c>
      <c r="K35" s="7">
        <v>15.29</v>
      </c>
      <c r="L35" s="16">
        <v>15.2</v>
      </c>
      <c r="M35" s="8">
        <v>-8.9999999999999858E-2</v>
      </c>
      <c r="N35" s="7">
        <v>15.35</v>
      </c>
      <c r="O35" s="16">
        <v>15.2</v>
      </c>
      <c r="P35" s="8">
        <v>-0.15000000000000036</v>
      </c>
    </row>
    <row r="37" spans="1:16" ht="15" thickBot="1" x14ac:dyDescent="0.35"/>
    <row r="38" spans="1:16" x14ac:dyDescent="0.3">
      <c r="A38" s="32" t="s">
        <v>189</v>
      </c>
      <c r="B38" s="33" t="s">
        <v>180</v>
      </c>
      <c r="C38" s="33"/>
      <c r="D38" s="34" t="s">
        <v>181</v>
      </c>
    </row>
    <row r="39" spans="1:16" x14ac:dyDescent="0.3">
      <c r="A39" s="35"/>
      <c r="B39" s="31"/>
      <c r="C39" s="31" t="s">
        <v>182</v>
      </c>
      <c r="D39" s="36"/>
    </row>
    <row r="40" spans="1:16" ht="15" thickBot="1" x14ac:dyDescent="0.35">
      <c r="A40" s="37">
        <v>0.7</v>
      </c>
      <c r="B40" s="38"/>
      <c r="C40" s="38"/>
      <c r="D40" s="39"/>
    </row>
    <row r="41" spans="1:16" ht="15" thickBot="1" x14ac:dyDescent="0.35"/>
    <row r="42" spans="1:16" x14ac:dyDescent="0.3">
      <c r="A42" s="32" t="s">
        <v>190</v>
      </c>
      <c r="B42" s="33" t="s">
        <v>191</v>
      </c>
      <c r="C42" s="40" t="s">
        <v>192</v>
      </c>
    </row>
    <row r="43" spans="1:16" ht="15" thickBot="1" x14ac:dyDescent="0.35">
      <c r="A43" s="37">
        <v>50</v>
      </c>
      <c r="B43" s="38">
        <v>100</v>
      </c>
      <c r="C43" s="41"/>
    </row>
  </sheetData>
  <mergeCells count="5">
    <mergeCell ref="C1:D1"/>
    <mergeCell ref="F1:G1"/>
    <mergeCell ref="I1:J1"/>
    <mergeCell ref="L1:M1"/>
    <mergeCell ref="O1:P1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62"/>
  <sheetViews>
    <sheetView workbookViewId="0">
      <pane ySplit="1" topLeftCell="A2" activePane="bottomLeft" state="frozen"/>
      <selection pane="bottomLeft" activeCell="I38" sqref="I38"/>
    </sheetView>
  </sheetViews>
  <sheetFormatPr defaultRowHeight="14.4" x14ac:dyDescent="0.3"/>
  <cols>
    <col min="1" max="1" width="8.88671875" style="30"/>
    <col min="2" max="2" width="10.33203125" bestFit="1" customWidth="1"/>
    <col min="4" max="4" width="16.6640625" bestFit="1" customWidth="1"/>
    <col min="10" max="10" width="11" bestFit="1" customWidth="1"/>
    <col min="11" max="11" width="8.88671875" style="30"/>
    <col min="12" max="12" width="8.88671875" style="2"/>
    <col min="14" max="14" width="10" bestFit="1" customWidth="1"/>
  </cols>
  <sheetData>
    <row r="1" spans="1:24" x14ac:dyDescent="0.3">
      <c r="B1" s="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52</v>
      </c>
      <c r="K1" s="30" t="s">
        <v>10</v>
      </c>
      <c r="L1" s="2" t="s">
        <v>11</v>
      </c>
      <c r="M1" t="s">
        <v>12</v>
      </c>
      <c r="N1" t="s">
        <v>53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</row>
    <row r="2" spans="1:24" x14ac:dyDescent="0.3">
      <c r="A2" s="30">
        <v>49</v>
      </c>
      <c r="B2" s="1">
        <v>45841</v>
      </c>
      <c r="C2">
        <v>8.2985000000000007</v>
      </c>
      <c r="D2" t="s">
        <v>150</v>
      </c>
      <c r="E2">
        <v>0.82589999999999997</v>
      </c>
      <c r="F2">
        <v>321075</v>
      </c>
      <c r="G2">
        <v>13.41</v>
      </c>
      <c r="H2">
        <v>8.4910999999999994</v>
      </c>
      <c r="I2">
        <v>-9.4067000000000007</v>
      </c>
      <c r="J2">
        <v>698550</v>
      </c>
      <c r="K2" s="30">
        <v>450.4</v>
      </c>
      <c r="L2" s="2">
        <v>25250</v>
      </c>
      <c r="M2">
        <v>32.65</v>
      </c>
      <c r="N2">
        <v>22833150</v>
      </c>
      <c r="O2">
        <v>-7.9283999999999999</v>
      </c>
      <c r="P2">
        <v>7.8146000000000004</v>
      </c>
      <c r="Q2">
        <v>12.28</v>
      </c>
      <c r="R2">
        <v>2664450</v>
      </c>
      <c r="S2">
        <v>-0.1532</v>
      </c>
      <c r="T2" t="s">
        <v>151</v>
      </c>
      <c r="U2">
        <v>25670.95</v>
      </c>
      <c r="V2">
        <v>420.95000000000073</v>
      </c>
      <c r="W2">
        <v>417.75</v>
      </c>
      <c r="X2">
        <v>13.79</v>
      </c>
    </row>
    <row r="3" spans="1:24" x14ac:dyDescent="0.3">
      <c r="A3" s="30">
        <v>50</v>
      </c>
      <c r="B3" s="1">
        <v>45841</v>
      </c>
      <c r="C3">
        <v>3.6686999999999999</v>
      </c>
      <c r="D3" t="s">
        <v>152</v>
      </c>
      <c r="E3">
        <v>0.80069999999999997</v>
      </c>
      <c r="F3">
        <v>1811625</v>
      </c>
      <c r="G3">
        <v>13.08</v>
      </c>
      <c r="H3">
        <v>9.2316000000000003</v>
      </c>
      <c r="I3">
        <v>-9.9710000000000001</v>
      </c>
      <c r="J3">
        <v>5180100</v>
      </c>
      <c r="K3" s="30">
        <v>406.95</v>
      </c>
      <c r="L3" s="2">
        <v>25300</v>
      </c>
      <c r="M3">
        <v>38.049999999999997</v>
      </c>
      <c r="N3">
        <v>47784675</v>
      </c>
      <c r="O3">
        <v>-8.4817</v>
      </c>
      <c r="P3">
        <v>8.6058000000000003</v>
      </c>
      <c r="Q3">
        <v>11.93</v>
      </c>
      <c r="R3">
        <v>6646350</v>
      </c>
      <c r="S3">
        <v>-0.1779</v>
      </c>
      <c r="T3" t="s">
        <v>153</v>
      </c>
      <c r="U3">
        <v>25670.95</v>
      </c>
      <c r="V3">
        <v>370.95000000000073</v>
      </c>
      <c r="W3">
        <v>368.9</v>
      </c>
      <c r="X3">
        <v>10.7</v>
      </c>
    </row>
    <row r="4" spans="1:24" x14ac:dyDescent="0.3">
      <c r="A4" s="30">
        <v>51</v>
      </c>
      <c r="B4" s="1">
        <v>45841</v>
      </c>
      <c r="C4">
        <v>4.0658000000000003</v>
      </c>
      <c r="D4" t="s">
        <v>168</v>
      </c>
      <c r="E4">
        <v>0.77280000000000004</v>
      </c>
      <c r="F4">
        <v>732000</v>
      </c>
      <c r="G4">
        <v>12.7</v>
      </c>
      <c r="H4">
        <v>9.9640000000000004</v>
      </c>
      <c r="I4">
        <v>-10.4481</v>
      </c>
      <c r="J4">
        <v>2412150</v>
      </c>
      <c r="K4" s="30">
        <v>364.25</v>
      </c>
      <c r="L4" s="2">
        <v>25350</v>
      </c>
      <c r="M4">
        <v>45</v>
      </c>
      <c r="N4">
        <v>25169175</v>
      </c>
      <c r="O4">
        <v>-9.0391999999999992</v>
      </c>
      <c r="P4">
        <v>9.4369999999999994</v>
      </c>
      <c r="Q4">
        <v>11.6</v>
      </c>
      <c r="R4">
        <v>2976150</v>
      </c>
      <c r="S4">
        <v>-0.20680000000000001</v>
      </c>
      <c r="T4" t="s">
        <v>169</v>
      </c>
      <c r="U4">
        <v>25670.95</v>
      </c>
      <c r="V4">
        <v>320.95000000000073</v>
      </c>
      <c r="W4">
        <v>319.25</v>
      </c>
      <c r="X4">
        <v>8.09</v>
      </c>
    </row>
    <row r="5" spans="1:24" x14ac:dyDescent="0.3">
      <c r="A5" s="30">
        <v>52</v>
      </c>
      <c r="B5" s="1">
        <v>45841</v>
      </c>
      <c r="C5">
        <v>3.3555999999999999</v>
      </c>
      <c r="D5" t="s">
        <v>176</v>
      </c>
      <c r="E5">
        <v>0.74039999999999995</v>
      </c>
      <c r="F5">
        <v>2042025</v>
      </c>
      <c r="G5">
        <v>12.35</v>
      </c>
      <c r="H5">
        <v>10.7089</v>
      </c>
      <c r="I5">
        <v>-10.925599999999999</v>
      </c>
      <c r="J5">
        <v>12487875</v>
      </c>
      <c r="K5" s="30">
        <v>322.05</v>
      </c>
      <c r="L5" s="2">
        <v>25400</v>
      </c>
      <c r="M5">
        <v>53.35</v>
      </c>
      <c r="N5">
        <v>60603525</v>
      </c>
      <c r="O5">
        <v>-9.6262000000000008</v>
      </c>
      <c r="P5">
        <v>10.3005</v>
      </c>
      <c r="Q5">
        <v>11.31</v>
      </c>
      <c r="R5">
        <v>6852300</v>
      </c>
      <c r="S5">
        <v>-0.2412</v>
      </c>
      <c r="T5" t="s">
        <v>177</v>
      </c>
      <c r="U5">
        <v>25670.95</v>
      </c>
      <c r="V5">
        <v>270.95000000000073</v>
      </c>
      <c r="W5">
        <v>268.7</v>
      </c>
      <c r="X5">
        <v>6.04</v>
      </c>
    </row>
    <row r="6" spans="1:24" x14ac:dyDescent="0.3">
      <c r="A6" s="30">
        <v>53</v>
      </c>
      <c r="B6" s="1">
        <v>45841</v>
      </c>
      <c r="C6">
        <v>3.4047999999999998</v>
      </c>
      <c r="D6" t="s">
        <v>183</v>
      </c>
      <c r="E6">
        <v>0.70369999999999999</v>
      </c>
      <c r="F6">
        <v>799200</v>
      </c>
      <c r="G6">
        <v>12.02</v>
      </c>
      <c r="H6">
        <v>11.4236</v>
      </c>
      <c r="I6">
        <v>-11.337999999999999</v>
      </c>
      <c r="J6">
        <v>9090525</v>
      </c>
      <c r="K6" s="30">
        <v>283.5</v>
      </c>
      <c r="L6" s="2">
        <v>25450</v>
      </c>
      <c r="M6">
        <v>63.85</v>
      </c>
      <c r="N6">
        <v>36940275</v>
      </c>
      <c r="O6">
        <v>-10.1616</v>
      </c>
      <c r="P6">
        <v>11.1363</v>
      </c>
      <c r="Q6">
        <v>11.05</v>
      </c>
      <c r="R6">
        <v>2721150</v>
      </c>
      <c r="S6">
        <v>-0.28070000000000001</v>
      </c>
      <c r="T6" t="s">
        <v>184</v>
      </c>
      <c r="U6">
        <v>25670.95</v>
      </c>
      <c r="V6">
        <v>220.95000000000073</v>
      </c>
      <c r="W6">
        <v>219.65</v>
      </c>
      <c r="X6">
        <v>4.4400000000000004</v>
      </c>
    </row>
    <row r="7" spans="1:24" x14ac:dyDescent="0.3">
      <c r="A7" s="30">
        <v>54</v>
      </c>
      <c r="B7" s="1">
        <v>45841</v>
      </c>
      <c r="C7">
        <v>2.4287000000000001</v>
      </c>
      <c r="D7" t="s">
        <v>211</v>
      </c>
      <c r="E7">
        <v>0.66249999999999998</v>
      </c>
      <c r="F7">
        <v>4460250</v>
      </c>
      <c r="G7">
        <v>11.69</v>
      </c>
      <c r="H7">
        <v>12.072699999999999</v>
      </c>
      <c r="I7">
        <v>-11.655099999999999</v>
      </c>
      <c r="J7">
        <v>71321025</v>
      </c>
      <c r="K7" s="30">
        <v>245.25</v>
      </c>
      <c r="L7" s="2">
        <v>25500</v>
      </c>
      <c r="M7">
        <v>76.650000000000006</v>
      </c>
      <c r="N7">
        <v>108086025</v>
      </c>
      <c r="O7">
        <v>-10.627000000000001</v>
      </c>
      <c r="P7">
        <v>11.9011</v>
      </c>
      <c r="Q7">
        <v>10.81</v>
      </c>
      <c r="R7">
        <v>10832775</v>
      </c>
      <c r="S7">
        <v>-0.32550000000000001</v>
      </c>
      <c r="T7" t="s">
        <v>212</v>
      </c>
      <c r="U7">
        <v>25670.95</v>
      </c>
      <c r="V7">
        <v>170.95000000000073</v>
      </c>
      <c r="W7">
        <v>168.6</v>
      </c>
      <c r="X7">
        <v>3.2</v>
      </c>
    </row>
    <row r="8" spans="1:24" x14ac:dyDescent="0.3">
      <c r="A8" s="30">
        <v>55</v>
      </c>
      <c r="B8" s="1">
        <v>45841</v>
      </c>
      <c r="C8">
        <v>1.9810000000000001</v>
      </c>
      <c r="D8" t="s">
        <v>213</v>
      </c>
      <c r="E8">
        <v>0.61609999999999998</v>
      </c>
      <c r="F8">
        <v>2274975</v>
      </c>
      <c r="G8">
        <v>11.44</v>
      </c>
      <c r="H8">
        <v>12.620200000000001</v>
      </c>
      <c r="I8">
        <v>-11.921200000000001</v>
      </c>
      <c r="J8">
        <v>75837825</v>
      </c>
      <c r="K8" s="30">
        <v>211.25</v>
      </c>
      <c r="L8" s="2">
        <v>25550</v>
      </c>
      <c r="M8">
        <v>91.25</v>
      </c>
      <c r="N8">
        <v>77312325</v>
      </c>
      <c r="O8">
        <v>-10.928000000000001</v>
      </c>
      <c r="P8">
        <v>12.53</v>
      </c>
      <c r="Q8">
        <v>10.56</v>
      </c>
      <c r="R8">
        <v>4506825</v>
      </c>
      <c r="S8">
        <v>-0.375</v>
      </c>
      <c r="T8" t="s">
        <v>214</v>
      </c>
      <c r="U8">
        <v>25670.95</v>
      </c>
      <c r="V8">
        <v>120.95000000000073</v>
      </c>
      <c r="W8">
        <v>120</v>
      </c>
      <c r="X8">
        <v>2.3199999999999998</v>
      </c>
    </row>
    <row r="9" spans="1:24" x14ac:dyDescent="0.3">
      <c r="A9" s="30">
        <v>56</v>
      </c>
      <c r="B9" s="1">
        <v>45841</v>
      </c>
      <c r="C9">
        <v>1.3432999999999999</v>
      </c>
      <c r="D9" t="s">
        <v>215</v>
      </c>
      <c r="E9">
        <v>0.56559999999999999</v>
      </c>
      <c r="F9">
        <v>6848925</v>
      </c>
      <c r="G9">
        <v>11.24</v>
      </c>
      <c r="H9">
        <v>13.004</v>
      </c>
      <c r="I9">
        <v>-12.0707</v>
      </c>
      <c r="J9">
        <v>187604325</v>
      </c>
      <c r="K9" s="30">
        <v>178.9</v>
      </c>
      <c r="L9" s="2">
        <v>25600</v>
      </c>
      <c r="M9">
        <v>109</v>
      </c>
      <c r="N9">
        <v>137276775</v>
      </c>
      <c r="O9">
        <v>-11.095499999999999</v>
      </c>
      <c r="P9">
        <v>12.975099999999999</v>
      </c>
      <c r="Q9">
        <v>10.35</v>
      </c>
      <c r="R9">
        <v>9200100</v>
      </c>
      <c r="S9">
        <v>-0.42930000000000001</v>
      </c>
      <c r="T9" t="s">
        <v>216</v>
      </c>
      <c r="U9">
        <v>25670.95</v>
      </c>
      <c r="V9">
        <v>70.950000000000728</v>
      </c>
      <c r="W9">
        <v>69.900000000000006</v>
      </c>
      <c r="X9">
        <v>1.64</v>
      </c>
    </row>
    <row r="10" spans="1:24" x14ac:dyDescent="0.3">
      <c r="A10" s="30">
        <v>57</v>
      </c>
      <c r="B10" s="1">
        <v>45841</v>
      </c>
      <c r="C10">
        <v>0.8054</v>
      </c>
      <c r="D10" t="s">
        <v>217</v>
      </c>
      <c r="E10">
        <v>0.51219999999999999</v>
      </c>
      <c r="F10">
        <v>4236300</v>
      </c>
      <c r="G10">
        <v>11.05</v>
      </c>
      <c r="H10">
        <v>13.176399999999999</v>
      </c>
      <c r="I10">
        <v>-12.0314</v>
      </c>
      <c r="J10">
        <v>99368550</v>
      </c>
      <c r="K10" s="30">
        <v>150.15</v>
      </c>
      <c r="L10" s="2">
        <v>25650</v>
      </c>
      <c r="M10">
        <v>129.19999999999999</v>
      </c>
      <c r="N10">
        <v>50338950</v>
      </c>
      <c r="O10">
        <v>-11.0428</v>
      </c>
      <c r="P10">
        <v>13.175800000000001</v>
      </c>
      <c r="Q10">
        <v>10.15</v>
      </c>
      <c r="R10">
        <v>3412050</v>
      </c>
      <c r="S10">
        <v>-0.48720000000000002</v>
      </c>
      <c r="T10" t="s">
        <v>218</v>
      </c>
      <c r="U10">
        <v>25670.95</v>
      </c>
      <c r="V10">
        <v>20.950000000000728</v>
      </c>
      <c r="W10">
        <v>20.950000000000017</v>
      </c>
      <c r="X10">
        <v>1.1599999999999999</v>
      </c>
    </row>
    <row r="11" spans="1:24" x14ac:dyDescent="0.3">
      <c r="A11" s="30">
        <v>58</v>
      </c>
      <c r="B11" s="1">
        <v>45841</v>
      </c>
      <c r="C11">
        <v>0.53439999999999999</v>
      </c>
      <c r="D11" t="s">
        <v>219</v>
      </c>
      <c r="E11">
        <v>0.45679999999999998</v>
      </c>
      <c r="F11">
        <v>5954775</v>
      </c>
      <c r="G11">
        <v>10.85</v>
      </c>
      <c r="H11">
        <v>13.1053</v>
      </c>
      <c r="I11">
        <v>-11.743499999999999</v>
      </c>
      <c r="J11">
        <v>121768275</v>
      </c>
      <c r="K11" s="30">
        <v>123.65</v>
      </c>
      <c r="L11" s="2">
        <v>25700</v>
      </c>
      <c r="M11">
        <v>153</v>
      </c>
      <c r="N11">
        <v>37432050</v>
      </c>
      <c r="O11">
        <v>-10.7806</v>
      </c>
      <c r="P11">
        <v>13.0893</v>
      </c>
      <c r="Q11">
        <v>9.9700000000000006</v>
      </c>
      <c r="R11">
        <v>3182250</v>
      </c>
      <c r="S11">
        <v>-0.5474</v>
      </c>
      <c r="T11" t="s">
        <v>220</v>
      </c>
      <c r="U11">
        <v>25670.95</v>
      </c>
      <c r="V11">
        <v>29.049999999999272</v>
      </c>
      <c r="W11">
        <v>-29.349999999999994</v>
      </c>
      <c r="X11">
        <v>0.81</v>
      </c>
    </row>
    <row r="12" spans="1:24" x14ac:dyDescent="0.3">
      <c r="A12" s="30">
        <v>59</v>
      </c>
      <c r="B12" s="1">
        <v>45841</v>
      </c>
      <c r="C12">
        <v>0.2321</v>
      </c>
      <c r="D12" t="s">
        <v>221</v>
      </c>
      <c r="E12">
        <v>0.40110000000000001</v>
      </c>
      <c r="F12">
        <v>2467650</v>
      </c>
      <c r="G12">
        <v>10.73</v>
      </c>
      <c r="H12">
        <v>12.7752</v>
      </c>
      <c r="I12">
        <v>-11.319000000000001</v>
      </c>
      <c r="J12">
        <v>58570650</v>
      </c>
      <c r="K12" s="30">
        <v>100.35</v>
      </c>
      <c r="L12" s="2">
        <v>25750</v>
      </c>
      <c r="M12">
        <v>180</v>
      </c>
      <c r="N12">
        <v>7074675</v>
      </c>
      <c r="O12">
        <v>-10.286099999999999</v>
      </c>
      <c r="P12">
        <v>12.6928</v>
      </c>
      <c r="Q12">
        <v>9.81</v>
      </c>
      <c r="R12">
        <v>572775</v>
      </c>
      <c r="S12">
        <v>-0.60840000000000005</v>
      </c>
      <c r="T12" t="s">
        <v>222</v>
      </c>
      <c r="U12">
        <v>25670.95</v>
      </c>
      <c r="V12">
        <v>79.049999999999272</v>
      </c>
      <c r="W12">
        <v>-79.650000000000006</v>
      </c>
      <c r="X12">
        <v>0.56000000000000005</v>
      </c>
    </row>
    <row r="13" spans="1:24" x14ac:dyDescent="0.3">
      <c r="A13" s="30">
        <v>60</v>
      </c>
      <c r="B13" s="1">
        <v>45841</v>
      </c>
      <c r="C13">
        <v>0.18310000000000001</v>
      </c>
      <c r="D13" t="s">
        <v>259</v>
      </c>
      <c r="E13">
        <v>0.34560000000000002</v>
      </c>
      <c r="F13">
        <v>5689050</v>
      </c>
      <c r="G13">
        <v>10.57</v>
      </c>
      <c r="H13">
        <v>12.1831</v>
      </c>
      <c r="I13">
        <v>-10.633100000000001</v>
      </c>
      <c r="J13">
        <v>88991775</v>
      </c>
      <c r="K13" s="30">
        <v>80.3</v>
      </c>
      <c r="L13" s="2">
        <v>25800</v>
      </c>
      <c r="M13">
        <v>210.05</v>
      </c>
      <c r="N13">
        <v>9811350</v>
      </c>
      <c r="O13">
        <v>-9.5556999999999999</v>
      </c>
      <c r="P13">
        <v>11.9872</v>
      </c>
      <c r="Q13">
        <v>9.65</v>
      </c>
      <c r="R13">
        <v>1041900</v>
      </c>
      <c r="S13">
        <v>-0.66859999999999997</v>
      </c>
      <c r="T13" t="s">
        <v>260</v>
      </c>
      <c r="U13">
        <v>25670.95</v>
      </c>
      <c r="V13">
        <v>129.04999999999927</v>
      </c>
      <c r="W13">
        <v>-129.75</v>
      </c>
      <c r="X13">
        <v>0.38</v>
      </c>
    </row>
    <row r="14" spans="1:24" x14ac:dyDescent="0.3">
      <c r="A14" s="30">
        <v>61</v>
      </c>
      <c r="B14" s="1">
        <v>45841</v>
      </c>
      <c r="C14">
        <v>7.2099999999999997E-2</v>
      </c>
      <c r="D14" t="s">
        <v>267</v>
      </c>
      <c r="E14">
        <v>0.29360000000000003</v>
      </c>
      <c r="F14">
        <v>2268450</v>
      </c>
      <c r="G14">
        <v>10.5</v>
      </c>
      <c r="H14">
        <v>11.3756</v>
      </c>
      <c r="I14">
        <v>-9.8637999999999995</v>
      </c>
      <c r="J14">
        <v>40262175</v>
      </c>
      <c r="K14" s="30">
        <v>63.65</v>
      </c>
      <c r="L14" s="2">
        <v>25850</v>
      </c>
      <c r="M14">
        <v>243.5</v>
      </c>
      <c r="N14">
        <v>1544100</v>
      </c>
      <c r="O14">
        <v>-8.5835000000000008</v>
      </c>
      <c r="P14">
        <v>10.9848</v>
      </c>
      <c r="Q14">
        <v>9.4600000000000009</v>
      </c>
      <c r="R14">
        <v>163500</v>
      </c>
      <c r="S14">
        <v>-0.72709999999999997</v>
      </c>
      <c r="T14" t="s">
        <v>268</v>
      </c>
      <c r="U14">
        <v>25670.95</v>
      </c>
      <c r="V14">
        <v>179.04999999999927</v>
      </c>
      <c r="W14">
        <v>-179.85</v>
      </c>
      <c r="X14">
        <v>0.26</v>
      </c>
    </row>
    <row r="15" spans="1:24" x14ac:dyDescent="0.3">
      <c r="A15" s="30">
        <v>62</v>
      </c>
      <c r="B15" s="1">
        <v>45841</v>
      </c>
      <c r="C15">
        <v>7.3899999999999993E-2</v>
      </c>
      <c r="D15" t="s">
        <v>269</v>
      </c>
      <c r="E15">
        <v>0.24560000000000001</v>
      </c>
      <c r="F15">
        <v>4195800</v>
      </c>
      <c r="G15">
        <v>10.46</v>
      </c>
      <c r="H15">
        <v>10.4009</v>
      </c>
      <c r="I15">
        <v>-8.9859000000000009</v>
      </c>
      <c r="J15">
        <v>61242075</v>
      </c>
      <c r="K15" s="30">
        <v>49.85</v>
      </c>
      <c r="L15" s="2">
        <v>25900</v>
      </c>
      <c r="M15">
        <v>279.5</v>
      </c>
      <c r="N15">
        <v>2397675</v>
      </c>
      <c r="O15">
        <v>-7.5239000000000003</v>
      </c>
      <c r="P15">
        <v>9.7705000000000002</v>
      </c>
      <c r="Q15">
        <v>9.32</v>
      </c>
      <c r="R15">
        <v>310050</v>
      </c>
      <c r="S15">
        <v>-0.78049999999999997</v>
      </c>
      <c r="T15" t="s">
        <v>270</v>
      </c>
      <c r="U15">
        <v>25670.95</v>
      </c>
      <c r="V15">
        <v>229.04999999999927</v>
      </c>
      <c r="W15">
        <v>-229.65</v>
      </c>
      <c r="X15">
        <v>0.18</v>
      </c>
    </row>
    <row r="16" spans="1:24" x14ac:dyDescent="0.3">
      <c r="A16" s="30">
        <v>63</v>
      </c>
      <c r="B16" s="1">
        <v>45841</v>
      </c>
      <c r="C16">
        <v>2.0199999999999999E-2</v>
      </c>
      <c r="D16" t="s">
        <v>281</v>
      </c>
      <c r="E16">
        <v>0.2026</v>
      </c>
      <c r="F16">
        <v>1739775</v>
      </c>
      <c r="G16">
        <v>10.45</v>
      </c>
      <c r="H16">
        <v>9.3237000000000005</v>
      </c>
      <c r="I16">
        <v>-8.0493000000000006</v>
      </c>
      <c r="J16">
        <v>30328275</v>
      </c>
      <c r="K16" s="30">
        <v>38.85</v>
      </c>
      <c r="L16" s="2">
        <v>25950</v>
      </c>
      <c r="M16">
        <v>319</v>
      </c>
      <c r="N16">
        <v>255000</v>
      </c>
      <c r="O16">
        <v>-6.3567</v>
      </c>
      <c r="P16">
        <v>8.3922000000000008</v>
      </c>
      <c r="Q16">
        <v>9.17</v>
      </c>
      <c r="R16">
        <v>35100</v>
      </c>
      <c r="S16">
        <v>-0.82899999999999996</v>
      </c>
      <c r="T16" t="s">
        <v>282</v>
      </c>
      <c r="U16">
        <v>25670.95</v>
      </c>
      <c r="V16">
        <v>279.04999999999927</v>
      </c>
      <c r="W16">
        <v>-280.14999999999998</v>
      </c>
      <c r="X16">
        <v>0.12</v>
      </c>
    </row>
    <row r="17" spans="1:24" x14ac:dyDescent="0.3">
      <c r="A17" s="30">
        <v>64</v>
      </c>
      <c r="B17" s="1">
        <v>45841</v>
      </c>
      <c r="C17">
        <v>6.5699999999999995E-2</v>
      </c>
      <c r="D17" t="s">
        <v>283</v>
      </c>
      <c r="E17">
        <v>0.1658</v>
      </c>
      <c r="F17">
        <v>10059075</v>
      </c>
      <c r="G17">
        <v>10.5</v>
      </c>
      <c r="H17">
        <v>8.2277000000000005</v>
      </c>
      <c r="I17">
        <v>-7.1342999999999996</v>
      </c>
      <c r="J17">
        <v>108031500</v>
      </c>
      <c r="K17" s="30">
        <v>30.25</v>
      </c>
      <c r="L17" s="2">
        <v>26000</v>
      </c>
      <c r="M17">
        <v>360</v>
      </c>
      <c r="N17">
        <v>2428500</v>
      </c>
      <c r="O17">
        <v>-5.0311000000000003</v>
      </c>
      <c r="P17">
        <v>6.8353999999999999</v>
      </c>
      <c r="Q17">
        <v>8.91</v>
      </c>
      <c r="R17">
        <v>660675</v>
      </c>
      <c r="S17">
        <v>-0.87409999999999999</v>
      </c>
      <c r="T17" t="s">
        <v>284</v>
      </c>
      <c r="U17">
        <v>25670.95</v>
      </c>
      <c r="V17">
        <v>329.04999999999927</v>
      </c>
      <c r="W17">
        <v>-329.75</v>
      </c>
      <c r="X17">
        <v>0.08</v>
      </c>
    </row>
    <row r="18" spans="1:24" x14ac:dyDescent="0.3">
      <c r="A18" s="30">
        <v>65</v>
      </c>
      <c r="B18" s="1">
        <v>45841</v>
      </c>
      <c r="C18">
        <v>8.6999999999999994E-3</v>
      </c>
      <c r="D18" t="s">
        <v>359</v>
      </c>
      <c r="E18">
        <v>0.13350000000000001</v>
      </c>
      <c r="F18">
        <v>1670925</v>
      </c>
      <c r="G18">
        <v>10.53</v>
      </c>
      <c r="H18">
        <v>7.1211000000000002</v>
      </c>
      <c r="I18">
        <v>-6.1927000000000003</v>
      </c>
      <c r="J18">
        <v>27767400</v>
      </c>
      <c r="K18" s="30">
        <v>23.1</v>
      </c>
      <c r="L18" s="2">
        <v>26050</v>
      </c>
      <c r="M18">
        <v>403.6</v>
      </c>
      <c r="N18">
        <v>69900</v>
      </c>
      <c r="O18">
        <v>-3.9226000000000001</v>
      </c>
      <c r="P18">
        <v>5.4128999999999996</v>
      </c>
      <c r="Q18">
        <v>8.77</v>
      </c>
      <c r="R18">
        <v>14475</v>
      </c>
      <c r="S18">
        <v>-0.90890000000000004</v>
      </c>
      <c r="T18" t="s">
        <v>360</v>
      </c>
      <c r="U18">
        <v>25670.95</v>
      </c>
      <c r="V18">
        <v>379.04999999999927</v>
      </c>
      <c r="W18">
        <v>-380.5</v>
      </c>
      <c r="X18">
        <v>0.06</v>
      </c>
    </row>
    <row r="19" spans="1:24" x14ac:dyDescent="0.3">
      <c r="A19" s="30">
        <v>45</v>
      </c>
      <c r="B19" s="1">
        <v>45827</v>
      </c>
      <c r="C19">
        <v>9.3399999999999997E-2</v>
      </c>
      <c r="D19" t="s">
        <v>54</v>
      </c>
      <c r="E19">
        <v>0.12330000000000001</v>
      </c>
      <c r="F19">
        <v>4884000</v>
      </c>
      <c r="G19">
        <v>16.940000000000001</v>
      </c>
      <c r="H19">
        <v>2.7212999999999998</v>
      </c>
      <c r="I19">
        <v>-21.7727</v>
      </c>
      <c r="J19">
        <v>99890325</v>
      </c>
      <c r="K19" s="30">
        <v>13.75</v>
      </c>
      <c r="L19" s="2">
        <v>25050</v>
      </c>
      <c r="M19">
        <v>273.55</v>
      </c>
      <c r="N19">
        <v>9636150</v>
      </c>
      <c r="O19">
        <v>-16.407599999999999</v>
      </c>
      <c r="P19">
        <v>2.2947000000000002</v>
      </c>
      <c r="Q19">
        <v>15.14</v>
      </c>
      <c r="R19">
        <v>456375</v>
      </c>
      <c r="S19">
        <v>-0.90280000000000005</v>
      </c>
      <c r="T19" t="s">
        <v>55</v>
      </c>
      <c r="U19">
        <v>24790.2</v>
      </c>
      <c r="V19">
        <v>259.79999999999927</v>
      </c>
      <c r="W19">
        <v>-259.8</v>
      </c>
      <c r="X19">
        <v>0.05</v>
      </c>
    </row>
    <row r="20" spans="1:24" x14ac:dyDescent="0.3">
      <c r="A20" s="30">
        <v>46</v>
      </c>
      <c r="B20" s="1">
        <v>45827</v>
      </c>
      <c r="C20">
        <v>0.1003</v>
      </c>
      <c r="D20" t="s">
        <v>56</v>
      </c>
      <c r="E20">
        <v>9.11E-2</v>
      </c>
      <c r="F20">
        <v>8690625</v>
      </c>
      <c r="G20">
        <v>17.489999999999998</v>
      </c>
      <c r="H20">
        <v>2.1879</v>
      </c>
      <c r="I20">
        <v>-18.072900000000001</v>
      </c>
      <c r="J20">
        <v>148289250</v>
      </c>
      <c r="K20" s="30">
        <v>9.8000000000000007</v>
      </c>
      <c r="L20" s="2">
        <v>25100</v>
      </c>
      <c r="M20">
        <v>319.14999999999998</v>
      </c>
      <c r="N20">
        <v>13329000</v>
      </c>
      <c r="O20">
        <v>-11.2774</v>
      </c>
      <c r="P20">
        <v>1.59</v>
      </c>
      <c r="Q20">
        <v>15.01</v>
      </c>
      <c r="R20">
        <v>871500</v>
      </c>
      <c r="S20">
        <v>-0.94</v>
      </c>
      <c r="T20" t="s">
        <v>57</v>
      </c>
      <c r="U20">
        <v>24790.2</v>
      </c>
      <c r="V20">
        <v>309.79999999999927</v>
      </c>
      <c r="W20">
        <v>-309.34999999999997</v>
      </c>
      <c r="X20">
        <v>0.03</v>
      </c>
    </row>
    <row r="21" spans="1:24" x14ac:dyDescent="0.3">
      <c r="A21" s="30">
        <v>47</v>
      </c>
      <c r="B21" s="1">
        <v>45827</v>
      </c>
      <c r="C21">
        <v>4.4900000000000002E-2</v>
      </c>
      <c r="D21" t="s">
        <v>58</v>
      </c>
      <c r="E21">
        <v>6.7400000000000002E-2</v>
      </c>
      <c r="F21">
        <v>4752825</v>
      </c>
      <c r="G21">
        <v>18.07</v>
      </c>
      <c r="H21">
        <v>1.7413000000000001</v>
      </c>
      <c r="I21">
        <v>-14.860200000000001</v>
      </c>
      <c r="J21">
        <v>80179500</v>
      </c>
      <c r="K21" s="30">
        <v>7.1</v>
      </c>
      <c r="L21" s="2">
        <v>25150</v>
      </c>
      <c r="M21">
        <v>365.8</v>
      </c>
      <c r="N21">
        <v>1814250</v>
      </c>
      <c r="O21">
        <v>-4.4387999999999996</v>
      </c>
      <c r="P21">
        <v>0.69979999999999998</v>
      </c>
      <c r="Q21">
        <v>13.43</v>
      </c>
      <c r="R21">
        <v>213525</v>
      </c>
      <c r="S21">
        <v>-0.97799999999999998</v>
      </c>
      <c r="T21" t="s">
        <v>59</v>
      </c>
      <c r="U21">
        <v>24790.2</v>
      </c>
      <c r="V21">
        <v>359.79999999999927</v>
      </c>
      <c r="W21">
        <v>-358.7</v>
      </c>
      <c r="X21">
        <v>0.02</v>
      </c>
    </row>
    <row r="22" spans="1:24" x14ac:dyDescent="0.3">
      <c r="A22" s="30">
        <v>48</v>
      </c>
      <c r="B22" s="1">
        <v>45827</v>
      </c>
      <c r="C22">
        <v>5.8500000000000003E-2</v>
      </c>
      <c r="D22" t="s">
        <v>60</v>
      </c>
      <c r="E22">
        <v>5.0099999999999999E-2</v>
      </c>
      <c r="F22">
        <v>10679550</v>
      </c>
      <c r="G22">
        <v>18.68</v>
      </c>
      <c r="H22">
        <v>1.3797999999999999</v>
      </c>
      <c r="I22">
        <v>-12.172800000000001</v>
      </c>
      <c r="J22">
        <v>134294100</v>
      </c>
      <c r="K22" s="30">
        <v>5.25</v>
      </c>
      <c r="L22" s="2">
        <v>25200</v>
      </c>
      <c r="M22">
        <v>413.05</v>
      </c>
      <c r="N22">
        <v>5215125</v>
      </c>
      <c r="O22">
        <v>0</v>
      </c>
      <c r="P22">
        <v>0</v>
      </c>
      <c r="Q22">
        <v>0</v>
      </c>
      <c r="R22">
        <v>625125</v>
      </c>
      <c r="S22">
        <v>-1</v>
      </c>
      <c r="T22" t="s">
        <v>61</v>
      </c>
      <c r="U22">
        <v>24790.2</v>
      </c>
      <c r="V22">
        <v>409.79999999999927</v>
      </c>
      <c r="W22">
        <v>-407.8</v>
      </c>
      <c r="X22">
        <v>0.01</v>
      </c>
    </row>
    <row r="23" spans="1:24" x14ac:dyDescent="0.3">
      <c r="A23" s="30">
        <v>49</v>
      </c>
      <c r="B23" s="1">
        <v>45827</v>
      </c>
      <c r="C23">
        <v>0.02</v>
      </c>
      <c r="D23" t="s">
        <v>62</v>
      </c>
      <c r="E23">
        <v>3.78E-2</v>
      </c>
      <c r="F23">
        <v>4791750</v>
      </c>
      <c r="G23">
        <v>19.350000000000001</v>
      </c>
      <c r="H23">
        <v>1.0993999999999999</v>
      </c>
      <c r="I23">
        <v>-10.047800000000001</v>
      </c>
      <c r="J23">
        <v>71132475</v>
      </c>
      <c r="K23" s="30">
        <v>3.85</v>
      </c>
      <c r="L23" s="2">
        <v>25250</v>
      </c>
      <c r="M23">
        <v>461.55</v>
      </c>
      <c r="N23">
        <v>329400</v>
      </c>
      <c r="O23">
        <v>0</v>
      </c>
      <c r="P23">
        <v>0</v>
      </c>
      <c r="Q23">
        <v>0</v>
      </c>
      <c r="R23">
        <v>95625</v>
      </c>
      <c r="S23">
        <v>-1</v>
      </c>
      <c r="T23" t="s">
        <v>63</v>
      </c>
      <c r="U23">
        <v>24790.2</v>
      </c>
      <c r="V23">
        <v>459.79999999999927</v>
      </c>
      <c r="W23">
        <v>-457.7</v>
      </c>
      <c r="X23">
        <v>0.01</v>
      </c>
    </row>
    <row r="24" spans="1:24" x14ac:dyDescent="0.3">
      <c r="A24" s="30">
        <v>50</v>
      </c>
      <c r="B24" s="1">
        <v>45827</v>
      </c>
      <c r="C24">
        <v>1.18E-2</v>
      </c>
      <c r="D24" t="s">
        <v>170</v>
      </c>
      <c r="E24">
        <v>2.87E-2</v>
      </c>
      <c r="F24">
        <v>9770400</v>
      </c>
      <c r="G24">
        <v>20.02</v>
      </c>
      <c r="H24">
        <v>0.876</v>
      </c>
      <c r="I24">
        <v>-8.2840000000000007</v>
      </c>
      <c r="J24">
        <v>106491900</v>
      </c>
      <c r="K24" s="30">
        <v>2.95</v>
      </c>
      <c r="L24" s="2">
        <v>25300</v>
      </c>
      <c r="M24">
        <v>511.15</v>
      </c>
      <c r="N24">
        <v>885300</v>
      </c>
      <c r="O24">
        <v>0</v>
      </c>
      <c r="P24">
        <v>0</v>
      </c>
      <c r="Q24">
        <v>0</v>
      </c>
      <c r="R24">
        <v>114975</v>
      </c>
      <c r="S24">
        <v>-1</v>
      </c>
      <c r="T24" t="s">
        <v>171</v>
      </c>
      <c r="U24">
        <v>24790.2</v>
      </c>
      <c r="V24">
        <v>509.79999999999927</v>
      </c>
      <c r="W24">
        <v>-508.2</v>
      </c>
      <c r="X24">
        <v>0.01</v>
      </c>
    </row>
    <row r="25" spans="1:24" x14ac:dyDescent="0.3">
      <c r="A25" s="30">
        <v>51</v>
      </c>
      <c r="B25" s="1">
        <v>45827</v>
      </c>
      <c r="C25">
        <v>6.7000000000000002E-3</v>
      </c>
      <c r="D25" t="s">
        <v>172</v>
      </c>
      <c r="E25">
        <v>2.23E-2</v>
      </c>
      <c r="F25">
        <v>3578475</v>
      </c>
      <c r="G25">
        <v>20.75</v>
      </c>
      <c r="H25">
        <v>0.70760000000000001</v>
      </c>
      <c r="I25">
        <v>-6.9363000000000001</v>
      </c>
      <c r="J25">
        <v>60368925</v>
      </c>
      <c r="K25" s="30">
        <v>2.25</v>
      </c>
      <c r="L25" s="2">
        <v>25350</v>
      </c>
      <c r="M25">
        <v>561.70000000000005</v>
      </c>
      <c r="N25">
        <v>66975</v>
      </c>
      <c r="O25">
        <v>0</v>
      </c>
      <c r="P25">
        <v>0</v>
      </c>
      <c r="Q25">
        <v>0</v>
      </c>
      <c r="R25">
        <v>24150</v>
      </c>
      <c r="S25">
        <v>-1</v>
      </c>
      <c r="T25" t="s">
        <v>173</v>
      </c>
      <c r="U25">
        <v>24790.2</v>
      </c>
      <c r="V25">
        <v>559.79999999999927</v>
      </c>
      <c r="W25">
        <v>-559.45000000000005</v>
      </c>
      <c r="X25">
        <v>0</v>
      </c>
    </row>
    <row r="26" spans="1:24" x14ac:dyDescent="0.3">
      <c r="A26" s="30">
        <v>52</v>
      </c>
      <c r="B26" s="1">
        <v>45827</v>
      </c>
      <c r="C26">
        <v>2.4899999999999999E-2</v>
      </c>
      <c r="D26" t="s">
        <v>185</v>
      </c>
      <c r="E26">
        <v>1.7899999999999999E-2</v>
      </c>
      <c r="F26">
        <v>6042975</v>
      </c>
      <c r="G26">
        <v>21.61</v>
      </c>
      <c r="H26">
        <v>0.58879999999999999</v>
      </c>
      <c r="I26">
        <v>-6.01</v>
      </c>
      <c r="J26">
        <v>82715250</v>
      </c>
      <c r="K26" s="30">
        <v>1.85</v>
      </c>
      <c r="L26" s="2">
        <v>25400</v>
      </c>
      <c r="M26">
        <v>610</v>
      </c>
      <c r="N26">
        <v>590400</v>
      </c>
      <c r="O26">
        <v>0</v>
      </c>
      <c r="P26">
        <v>0</v>
      </c>
      <c r="Q26">
        <v>0</v>
      </c>
      <c r="R26">
        <v>150600</v>
      </c>
      <c r="S26">
        <v>-1</v>
      </c>
      <c r="T26" t="s">
        <v>186</v>
      </c>
      <c r="U26">
        <v>24790.2</v>
      </c>
      <c r="V26">
        <v>609.79999999999927</v>
      </c>
      <c r="W26">
        <v>-608.15</v>
      </c>
      <c r="X26">
        <v>0</v>
      </c>
    </row>
    <row r="27" spans="1:24" x14ac:dyDescent="0.3">
      <c r="A27" s="30">
        <v>69</v>
      </c>
      <c r="B27" s="1">
        <v>45820</v>
      </c>
      <c r="C27">
        <v>1.1900000000000001E-2</v>
      </c>
      <c r="D27" t="s">
        <v>74</v>
      </c>
      <c r="E27">
        <v>3.2500000000000001E-2</v>
      </c>
      <c r="F27">
        <v>6355875</v>
      </c>
      <c r="G27">
        <v>18.43</v>
      </c>
      <c r="H27">
        <v>1.0222</v>
      </c>
      <c r="I27">
        <v>-8.2932000000000006</v>
      </c>
      <c r="J27">
        <v>73809225</v>
      </c>
      <c r="K27" s="30">
        <v>3.25</v>
      </c>
      <c r="L27" s="2">
        <v>25700</v>
      </c>
      <c r="M27">
        <v>499.25</v>
      </c>
      <c r="N27">
        <v>147525</v>
      </c>
      <c r="O27">
        <v>-25.505199999999999</v>
      </c>
      <c r="P27">
        <v>2.2875999999999999</v>
      </c>
      <c r="Q27">
        <v>25.33</v>
      </c>
      <c r="R27">
        <v>75825</v>
      </c>
      <c r="S27">
        <v>-0.90980000000000005</v>
      </c>
      <c r="T27" t="s">
        <v>75</v>
      </c>
      <c r="U27">
        <v>25208.35</v>
      </c>
      <c r="V27">
        <v>491.65000000000146</v>
      </c>
      <c r="W27">
        <v>-496</v>
      </c>
      <c r="X27">
        <v>0.01</v>
      </c>
    </row>
    <row r="28" spans="1:24" x14ac:dyDescent="0.3">
      <c r="A28" s="30">
        <v>70</v>
      </c>
      <c r="B28" s="1">
        <v>45820</v>
      </c>
      <c r="C28">
        <v>6.9999999999999999E-4</v>
      </c>
      <c r="D28" t="s">
        <v>76</v>
      </c>
      <c r="E28">
        <v>2.4500000000000001E-2</v>
      </c>
      <c r="F28">
        <v>2946300</v>
      </c>
      <c r="G28">
        <v>19.04</v>
      </c>
      <c r="H28">
        <v>0.80769999999999997</v>
      </c>
      <c r="I28">
        <v>-6.7701000000000002</v>
      </c>
      <c r="J28">
        <v>46279950</v>
      </c>
      <c r="K28" s="30">
        <v>2.5</v>
      </c>
      <c r="L28" s="2">
        <v>25750</v>
      </c>
      <c r="M28">
        <v>548.15</v>
      </c>
      <c r="N28">
        <v>8625</v>
      </c>
      <c r="O28">
        <v>-24.822299999999998</v>
      </c>
      <c r="P28">
        <v>2.1095000000000002</v>
      </c>
      <c r="Q28">
        <v>26.73</v>
      </c>
      <c r="R28">
        <v>2175</v>
      </c>
      <c r="S28">
        <v>-0.91910000000000003</v>
      </c>
      <c r="T28" t="s">
        <v>77</v>
      </c>
      <c r="U28">
        <v>25208.35</v>
      </c>
      <c r="V28">
        <v>541.65000000000146</v>
      </c>
      <c r="W28">
        <v>-545.65</v>
      </c>
      <c r="X28">
        <v>0</v>
      </c>
    </row>
    <row r="29" spans="1:24" x14ac:dyDescent="0.3">
      <c r="A29" s="30">
        <v>71</v>
      </c>
      <c r="B29" s="1">
        <v>45820</v>
      </c>
      <c r="C29">
        <v>3.5000000000000001E-3</v>
      </c>
      <c r="D29" t="s">
        <v>104</v>
      </c>
      <c r="E29">
        <v>1.8599999999999998E-2</v>
      </c>
      <c r="F29">
        <v>7093650</v>
      </c>
      <c r="G29">
        <v>19.649999999999999</v>
      </c>
      <c r="H29">
        <v>0.63919999999999999</v>
      </c>
      <c r="I29">
        <v>-5.5294999999999996</v>
      </c>
      <c r="J29">
        <v>55335375</v>
      </c>
      <c r="K29" s="30">
        <v>1.9</v>
      </c>
      <c r="L29" s="2">
        <v>25800</v>
      </c>
      <c r="M29">
        <v>589.15</v>
      </c>
      <c r="N29">
        <v>27300</v>
      </c>
      <c r="O29">
        <v>-11.428900000000001</v>
      </c>
      <c r="P29">
        <v>1.1344000000000001</v>
      </c>
      <c r="Q29">
        <v>22.89</v>
      </c>
      <c r="R29">
        <v>25125</v>
      </c>
      <c r="S29">
        <v>-0.96309999999999996</v>
      </c>
      <c r="T29" t="s">
        <v>105</v>
      </c>
      <c r="U29">
        <v>25208.35</v>
      </c>
      <c r="V29">
        <v>591.65000000000146</v>
      </c>
      <c r="W29">
        <v>-587.25</v>
      </c>
      <c r="X29">
        <v>0</v>
      </c>
    </row>
    <row r="30" spans="1:24" x14ac:dyDescent="0.3">
      <c r="A30" s="30">
        <v>72</v>
      </c>
      <c r="B30" s="1">
        <v>45820</v>
      </c>
      <c r="C30">
        <v>6.9999999999999999E-4</v>
      </c>
      <c r="D30" t="s">
        <v>118</v>
      </c>
      <c r="E30">
        <v>1.5100000000000001E-2</v>
      </c>
      <c r="F30">
        <v>2095725</v>
      </c>
      <c r="G30">
        <v>20.51</v>
      </c>
      <c r="H30">
        <v>0.53710000000000002</v>
      </c>
      <c r="I30">
        <v>-4.8479999999999999</v>
      </c>
      <c r="J30">
        <v>15846750</v>
      </c>
      <c r="K30" s="30">
        <v>1.5</v>
      </c>
      <c r="L30" s="2">
        <v>25850</v>
      </c>
      <c r="M30">
        <v>647.6</v>
      </c>
      <c r="N30">
        <v>3525</v>
      </c>
      <c r="O30">
        <v>-25.157299999999999</v>
      </c>
      <c r="P30">
        <v>1.8994</v>
      </c>
      <c r="Q30">
        <v>30.09</v>
      </c>
      <c r="R30">
        <v>1500</v>
      </c>
      <c r="S30">
        <v>-0.92949999999999999</v>
      </c>
      <c r="T30" t="s">
        <v>119</v>
      </c>
      <c r="U30">
        <v>25208.35</v>
      </c>
      <c r="V30">
        <v>641.65000000000146</v>
      </c>
      <c r="W30">
        <v>-646.1</v>
      </c>
      <c r="X30">
        <v>0</v>
      </c>
    </row>
    <row r="31" spans="1:24" x14ac:dyDescent="0.3">
      <c r="A31" s="30">
        <v>73</v>
      </c>
      <c r="B31" s="1">
        <v>45820</v>
      </c>
      <c r="C31">
        <v>2.5000000000000001E-3</v>
      </c>
      <c r="D31" t="s">
        <v>120</v>
      </c>
      <c r="E31">
        <v>1.21E-2</v>
      </c>
      <c r="F31">
        <v>5308275</v>
      </c>
      <c r="G31">
        <v>21.24</v>
      </c>
      <c r="H31">
        <v>0.44219999999999998</v>
      </c>
      <c r="I31">
        <v>-4.1337999999999999</v>
      </c>
      <c r="J31">
        <v>19643925</v>
      </c>
      <c r="K31" s="30">
        <v>1.2</v>
      </c>
      <c r="L31" s="2">
        <v>25900</v>
      </c>
      <c r="M31">
        <v>696.2</v>
      </c>
      <c r="N31">
        <v>7725</v>
      </c>
      <c r="O31">
        <v>-23.565300000000001</v>
      </c>
      <c r="P31">
        <v>1.7233000000000001</v>
      </c>
      <c r="Q31">
        <v>31.07</v>
      </c>
      <c r="R31">
        <v>13200</v>
      </c>
      <c r="S31">
        <v>-0.93779999999999997</v>
      </c>
      <c r="T31" t="s">
        <v>121</v>
      </c>
      <c r="U31">
        <v>25208.35</v>
      </c>
      <c r="V31">
        <v>691.65000000000146</v>
      </c>
      <c r="W31">
        <v>-695</v>
      </c>
      <c r="X31">
        <v>0</v>
      </c>
    </row>
    <row r="32" spans="1:24" x14ac:dyDescent="0.3">
      <c r="A32" s="30">
        <v>74</v>
      </c>
      <c r="B32" s="1">
        <v>45820</v>
      </c>
      <c r="C32">
        <v>8.9999999999999998E-4</v>
      </c>
      <c r="D32" t="s">
        <v>122</v>
      </c>
      <c r="E32">
        <v>9.7000000000000003E-3</v>
      </c>
      <c r="F32">
        <v>1940850</v>
      </c>
      <c r="G32">
        <v>21.97</v>
      </c>
      <c r="H32">
        <v>0.36649999999999999</v>
      </c>
      <c r="I32">
        <v>-3.5444</v>
      </c>
      <c r="J32">
        <v>7565925</v>
      </c>
      <c r="K32" s="30">
        <v>1.05</v>
      </c>
      <c r="L32" s="2">
        <v>25950</v>
      </c>
      <c r="M32">
        <v>741.7</v>
      </c>
      <c r="N32">
        <v>150</v>
      </c>
      <c r="O32">
        <v>-16.773800000000001</v>
      </c>
      <c r="P32">
        <v>1.2794000000000001</v>
      </c>
      <c r="Q32">
        <v>29.79</v>
      </c>
      <c r="R32">
        <v>1725</v>
      </c>
      <c r="S32">
        <v>-0.95720000000000005</v>
      </c>
      <c r="T32" t="s">
        <v>123</v>
      </c>
      <c r="U32">
        <v>25208.35</v>
      </c>
      <c r="V32">
        <v>741.65000000000146</v>
      </c>
      <c r="W32">
        <v>-740.65000000000009</v>
      </c>
      <c r="X32">
        <v>0</v>
      </c>
    </row>
    <row r="33" spans="2:2" x14ac:dyDescent="0.3">
      <c r="B33" s="1"/>
    </row>
    <row r="34" spans="2:2" x14ac:dyDescent="0.3">
      <c r="B34" s="1"/>
    </row>
    <row r="35" spans="2:2" x14ac:dyDescent="0.3">
      <c r="B35" s="1"/>
    </row>
    <row r="36" spans="2:2" x14ac:dyDescent="0.3">
      <c r="B36" s="1"/>
    </row>
    <row r="37" spans="2:2" x14ac:dyDescent="0.3">
      <c r="B37" s="1"/>
    </row>
    <row r="38" spans="2:2" x14ac:dyDescent="0.3">
      <c r="B38" s="1"/>
    </row>
    <row r="39" spans="2:2" x14ac:dyDescent="0.3">
      <c r="B39" s="1"/>
    </row>
    <row r="40" spans="2:2" x14ac:dyDescent="0.3">
      <c r="B40" s="1"/>
    </row>
    <row r="41" spans="2:2" x14ac:dyDescent="0.3">
      <c r="B41" s="1"/>
    </row>
    <row r="42" spans="2:2" x14ac:dyDescent="0.3">
      <c r="B42" s="1"/>
    </row>
    <row r="43" spans="2:2" x14ac:dyDescent="0.3">
      <c r="B43" s="1"/>
    </row>
    <row r="44" spans="2:2" x14ac:dyDescent="0.3">
      <c r="B44" s="1"/>
    </row>
    <row r="45" spans="2:2" x14ac:dyDescent="0.3">
      <c r="B45" s="1"/>
    </row>
    <row r="46" spans="2:2" x14ac:dyDescent="0.3">
      <c r="B46" s="1"/>
    </row>
    <row r="47" spans="2:2" x14ac:dyDescent="0.3">
      <c r="B47" s="1"/>
    </row>
    <row r="48" spans="2:2" x14ac:dyDescent="0.3">
      <c r="B48" s="1"/>
    </row>
    <row r="49" spans="2:2" x14ac:dyDescent="0.3">
      <c r="B49" s="1"/>
    </row>
    <row r="50" spans="2:2" x14ac:dyDescent="0.3">
      <c r="B50" s="1"/>
    </row>
    <row r="51" spans="2:2" x14ac:dyDescent="0.3">
      <c r="B51" s="1"/>
    </row>
    <row r="52" spans="2:2" x14ac:dyDescent="0.3">
      <c r="B52" s="1"/>
    </row>
    <row r="53" spans="2:2" x14ac:dyDescent="0.3">
      <c r="B53" s="1"/>
    </row>
    <row r="54" spans="2:2" x14ac:dyDescent="0.3">
      <c r="B54" s="1"/>
    </row>
    <row r="55" spans="2:2" x14ac:dyDescent="0.3">
      <c r="B55" s="1"/>
    </row>
    <row r="56" spans="2:2" x14ac:dyDescent="0.3">
      <c r="B56" s="1"/>
    </row>
    <row r="57" spans="2:2" x14ac:dyDescent="0.3">
      <c r="B57" s="1"/>
    </row>
    <row r="58" spans="2:2" x14ac:dyDescent="0.3">
      <c r="B58" s="1"/>
    </row>
    <row r="59" spans="2:2" x14ac:dyDescent="0.3">
      <c r="B59" s="1"/>
    </row>
    <row r="60" spans="2:2" x14ac:dyDescent="0.3">
      <c r="B60" s="1"/>
    </row>
    <row r="61" spans="2:2" x14ac:dyDescent="0.3">
      <c r="B61" s="1"/>
    </row>
    <row r="62" spans="2:2" x14ac:dyDescent="0.3">
      <c r="B62" s="1"/>
    </row>
  </sheetData>
  <conditionalFormatting sqref="A2:X62">
    <cfRule type="expression" dxfId="4" priority="1">
      <formula>$V2=MIN($V$2:$V$100)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62"/>
  <sheetViews>
    <sheetView workbookViewId="0">
      <pane ySplit="1" topLeftCell="A2" activePane="bottomLeft" state="frozen"/>
      <selection activeCell="H1" sqref="H1"/>
      <selection pane="bottomLeft" activeCell="F10" sqref="F10"/>
    </sheetView>
  </sheetViews>
  <sheetFormatPr defaultRowHeight="14.4" x14ac:dyDescent="0.3"/>
  <cols>
    <col min="2" max="2" width="10.33203125" bestFit="1" customWidth="1"/>
    <col min="11" max="11" width="8.88671875" style="30"/>
    <col min="12" max="12" width="8.88671875" style="2"/>
  </cols>
  <sheetData>
    <row r="1" spans="1:24" x14ac:dyDescent="0.3"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52</v>
      </c>
      <c r="K1" s="30" t="s">
        <v>10</v>
      </c>
      <c r="L1" s="2" t="s">
        <v>11</v>
      </c>
      <c r="M1" t="s">
        <v>12</v>
      </c>
      <c r="N1" t="s">
        <v>53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</row>
    <row r="2" spans="1:24" x14ac:dyDescent="0.3">
      <c r="A2">
        <v>47</v>
      </c>
      <c r="B2" s="1">
        <v>45848</v>
      </c>
      <c r="C2">
        <v>1.9265000000000001</v>
      </c>
      <c r="D2" t="s">
        <v>223</v>
      </c>
      <c r="E2">
        <v>0.73750000000000004</v>
      </c>
      <c r="F2">
        <v>364125</v>
      </c>
      <c r="G2">
        <v>12.76</v>
      </c>
      <c r="H2">
        <v>15.833600000000001</v>
      </c>
      <c r="I2">
        <v>-7.7366000000000001</v>
      </c>
      <c r="J2">
        <v>310200</v>
      </c>
      <c r="K2" s="30">
        <v>483.25</v>
      </c>
      <c r="L2" s="2">
        <v>25300</v>
      </c>
      <c r="M2">
        <v>91.4</v>
      </c>
      <c r="N2">
        <v>1259400</v>
      </c>
      <c r="O2">
        <v>-7.2851999999999997</v>
      </c>
      <c r="P2">
        <v>15.561299999999999</v>
      </c>
      <c r="Q2">
        <v>12.22</v>
      </c>
      <c r="R2">
        <v>701475</v>
      </c>
      <c r="S2">
        <v>-0.25390000000000001</v>
      </c>
      <c r="T2" t="s">
        <v>224</v>
      </c>
      <c r="U2">
        <v>25697.35</v>
      </c>
      <c r="V2">
        <v>397.34999999999854</v>
      </c>
      <c r="W2">
        <v>391.85</v>
      </c>
      <c r="X2">
        <v>5.29</v>
      </c>
    </row>
    <row r="3" spans="1:24" x14ac:dyDescent="0.3">
      <c r="A3">
        <v>48</v>
      </c>
      <c r="B3" s="1">
        <v>45848</v>
      </c>
      <c r="C3">
        <v>2.5758000000000001</v>
      </c>
      <c r="D3" t="s">
        <v>225</v>
      </c>
      <c r="E3">
        <v>0.70669999999999999</v>
      </c>
      <c r="F3">
        <v>37125</v>
      </c>
      <c r="G3">
        <v>13</v>
      </c>
      <c r="H3">
        <v>16.714099999999998</v>
      </c>
      <c r="I3">
        <v>-8.3231000000000002</v>
      </c>
      <c r="J3">
        <v>71925</v>
      </c>
      <c r="K3" s="30">
        <v>451.45</v>
      </c>
      <c r="L3" s="2">
        <v>25350</v>
      </c>
      <c r="M3">
        <v>102.3</v>
      </c>
      <c r="N3">
        <v>334125</v>
      </c>
      <c r="O3">
        <v>-7.5545</v>
      </c>
      <c r="P3">
        <v>16.340399999999999</v>
      </c>
      <c r="Q3">
        <v>12.07</v>
      </c>
      <c r="R3">
        <v>95625</v>
      </c>
      <c r="S3">
        <v>-0.2797</v>
      </c>
      <c r="T3" t="s">
        <v>226</v>
      </c>
      <c r="U3">
        <v>25697.35</v>
      </c>
      <c r="V3">
        <v>347.34999999999854</v>
      </c>
      <c r="W3">
        <v>349.15</v>
      </c>
      <c r="X3">
        <v>4.41</v>
      </c>
    </row>
    <row r="4" spans="1:24" x14ac:dyDescent="0.3">
      <c r="A4">
        <v>49</v>
      </c>
      <c r="B4" s="1">
        <v>45848</v>
      </c>
      <c r="C4">
        <v>1.38</v>
      </c>
      <c r="D4" t="s">
        <v>227</v>
      </c>
      <c r="E4">
        <v>0.68520000000000003</v>
      </c>
      <c r="F4">
        <v>328650</v>
      </c>
      <c r="G4">
        <v>12.47</v>
      </c>
      <c r="H4">
        <v>17.2483</v>
      </c>
      <c r="I4">
        <v>-8.2363</v>
      </c>
      <c r="J4">
        <v>341175</v>
      </c>
      <c r="K4" s="30">
        <v>408</v>
      </c>
      <c r="L4" s="2">
        <v>25400</v>
      </c>
      <c r="M4">
        <v>114.75</v>
      </c>
      <c r="N4">
        <v>1173000</v>
      </c>
      <c r="O4">
        <v>-7.7667999999999999</v>
      </c>
      <c r="P4">
        <v>17.058499999999999</v>
      </c>
      <c r="Q4">
        <v>11.89</v>
      </c>
      <c r="R4">
        <v>453525</v>
      </c>
      <c r="S4">
        <v>-0.30680000000000002</v>
      </c>
      <c r="T4" t="s">
        <v>228</v>
      </c>
      <c r="U4">
        <v>25697.35</v>
      </c>
      <c r="V4">
        <v>297.34999999999854</v>
      </c>
      <c r="W4">
        <v>293.25</v>
      </c>
      <c r="X4">
        <v>3.56</v>
      </c>
    </row>
    <row r="5" spans="1:24" x14ac:dyDescent="0.3">
      <c r="A5">
        <v>50</v>
      </c>
      <c r="B5" s="1">
        <v>45848</v>
      </c>
      <c r="C5">
        <v>1.9694</v>
      </c>
      <c r="D5" t="s">
        <v>229</v>
      </c>
      <c r="E5">
        <v>0.65649999999999997</v>
      </c>
      <c r="F5">
        <v>53850</v>
      </c>
      <c r="G5">
        <v>12.34</v>
      </c>
      <c r="H5">
        <v>17.866700000000002</v>
      </c>
      <c r="I5">
        <v>-8.4454999999999991</v>
      </c>
      <c r="J5">
        <v>150825</v>
      </c>
      <c r="K5" s="30">
        <v>375.25</v>
      </c>
      <c r="L5" s="2">
        <v>25450</v>
      </c>
      <c r="M5">
        <v>128.25</v>
      </c>
      <c r="N5">
        <v>363900</v>
      </c>
      <c r="O5">
        <v>-7.9715999999999996</v>
      </c>
      <c r="P5">
        <v>17.724399999999999</v>
      </c>
      <c r="Q5">
        <v>11.74</v>
      </c>
      <c r="R5">
        <v>106050</v>
      </c>
      <c r="S5">
        <v>-0.33639999999999998</v>
      </c>
      <c r="T5" t="s">
        <v>230</v>
      </c>
      <c r="U5">
        <v>25697.35</v>
      </c>
      <c r="V5">
        <v>247.34999999999854</v>
      </c>
      <c r="W5">
        <v>247</v>
      </c>
      <c r="X5">
        <v>2.93</v>
      </c>
    </row>
    <row r="6" spans="1:24" x14ac:dyDescent="0.3">
      <c r="A6">
        <v>51</v>
      </c>
      <c r="B6" s="1">
        <v>45848</v>
      </c>
      <c r="C6">
        <v>1.2157</v>
      </c>
      <c r="D6" t="s">
        <v>231</v>
      </c>
      <c r="E6">
        <v>0.62560000000000004</v>
      </c>
      <c r="F6">
        <v>645675</v>
      </c>
      <c r="G6">
        <v>12.28</v>
      </c>
      <c r="H6">
        <v>18.408999999999999</v>
      </c>
      <c r="I6">
        <v>-8.6615000000000002</v>
      </c>
      <c r="J6">
        <v>1556925</v>
      </c>
      <c r="K6" s="30">
        <v>340.85</v>
      </c>
      <c r="L6" s="2">
        <v>25500</v>
      </c>
      <c r="M6">
        <v>143.6</v>
      </c>
      <c r="N6">
        <v>2310900</v>
      </c>
      <c r="O6">
        <v>-8.1122999999999994</v>
      </c>
      <c r="P6">
        <v>18.2988</v>
      </c>
      <c r="Q6">
        <v>11.57</v>
      </c>
      <c r="R6">
        <v>784950</v>
      </c>
      <c r="S6">
        <v>-0.36759999999999998</v>
      </c>
      <c r="T6" t="s">
        <v>232</v>
      </c>
      <c r="U6">
        <v>25697.35</v>
      </c>
      <c r="V6">
        <v>197.34999999999854</v>
      </c>
      <c r="W6">
        <v>197.25000000000003</v>
      </c>
      <c r="X6">
        <v>2.37</v>
      </c>
    </row>
    <row r="7" spans="1:24" x14ac:dyDescent="0.3">
      <c r="A7">
        <v>52</v>
      </c>
      <c r="B7" s="1">
        <v>45848</v>
      </c>
      <c r="C7">
        <v>1.2634000000000001</v>
      </c>
      <c r="D7" t="s">
        <v>233</v>
      </c>
      <c r="E7">
        <v>0.59409999999999996</v>
      </c>
      <c r="F7">
        <v>87975</v>
      </c>
      <c r="G7">
        <v>12.15</v>
      </c>
      <c r="H7">
        <v>18.8354</v>
      </c>
      <c r="I7">
        <v>-8.7684999999999995</v>
      </c>
      <c r="J7">
        <v>401550</v>
      </c>
      <c r="K7" s="30">
        <v>308.10000000000002</v>
      </c>
      <c r="L7" s="2">
        <v>25550</v>
      </c>
      <c r="M7">
        <v>160.75</v>
      </c>
      <c r="N7">
        <v>431325</v>
      </c>
      <c r="O7">
        <v>-8.2238000000000007</v>
      </c>
      <c r="P7">
        <v>18.773099999999999</v>
      </c>
      <c r="Q7">
        <v>11.44</v>
      </c>
      <c r="R7">
        <v>111150</v>
      </c>
      <c r="S7">
        <v>-0.4007</v>
      </c>
      <c r="T7" t="s">
        <v>234</v>
      </c>
      <c r="U7">
        <v>25697.35</v>
      </c>
      <c r="V7">
        <v>147.34999999999854</v>
      </c>
      <c r="W7">
        <v>147.35000000000002</v>
      </c>
      <c r="X7">
        <v>1.92</v>
      </c>
    </row>
    <row r="8" spans="1:24" x14ac:dyDescent="0.3">
      <c r="A8">
        <v>53</v>
      </c>
      <c r="B8" s="1">
        <v>45848</v>
      </c>
      <c r="C8">
        <v>1.0419</v>
      </c>
      <c r="D8" t="s">
        <v>235</v>
      </c>
      <c r="E8">
        <v>0.56130000000000002</v>
      </c>
      <c r="F8">
        <v>610575</v>
      </c>
      <c r="G8">
        <v>12.04</v>
      </c>
      <c r="H8">
        <v>19.147600000000001</v>
      </c>
      <c r="I8">
        <v>-8.8299000000000003</v>
      </c>
      <c r="J8">
        <v>1950975</v>
      </c>
      <c r="K8" s="30">
        <v>277</v>
      </c>
      <c r="L8" s="2">
        <v>25600</v>
      </c>
      <c r="M8">
        <v>179.65</v>
      </c>
      <c r="N8">
        <v>2036475</v>
      </c>
      <c r="O8">
        <v>-8.3101000000000003</v>
      </c>
      <c r="P8">
        <v>19.123100000000001</v>
      </c>
      <c r="Q8">
        <v>11.34</v>
      </c>
      <c r="R8">
        <v>636150</v>
      </c>
      <c r="S8">
        <v>-0.4355</v>
      </c>
      <c r="T8" t="s">
        <v>236</v>
      </c>
      <c r="U8">
        <v>25697.35</v>
      </c>
      <c r="V8">
        <v>97.349999999998545</v>
      </c>
      <c r="W8">
        <v>97.35</v>
      </c>
      <c r="X8">
        <v>1.54</v>
      </c>
    </row>
    <row r="9" spans="1:24" x14ac:dyDescent="0.3">
      <c r="A9">
        <v>54</v>
      </c>
      <c r="B9" s="1">
        <v>45848</v>
      </c>
      <c r="C9">
        <v>0.92179999999999995</v>
      </c>
      <c r="D9" t="s">
        <v>237</v>
      </c>
      <c r="E9">
        <v>0.52759999999999996</v>
      </c>
      <c r="F9">
        <v>139050</v>
      </c>
      <c r="G9">
        <v>11.88</v>
      </c>
      <c r="H9">
        <v>19.330400000000001</v>
      </c>
      <c r="I9">
        <v>-8.7927</v>
      </c>
      <c r="J9">
        <v>593025</v>
      </c>
      <c r="K9" s="30">
        <v>247</v>
      </c>
      <c r="L9" s="2">
        <v>25650</v>
      </c>
      <c r="M9">
        <v>199.65</v>
      </c>
      <c r="N9">
        <v>569850</v>
      </c>
      <c r="O9">
        <v>-8.2543000000000006</v>
      </c>
      <c r="P9">
        <v>19.3262</v>
      </c>
      <c r="Q9">
        <v>11.15</v>
      </c>
      <c r="R9">
        <v>128175</v>
      </c>
      <c r="S9">
        <v>-0.47120000000000001</v>
      </c>
      <c r="T9" t="s">
        <v>238</v>
      </c>
      <c r="U9">
        <v>25697.35</v>
      </c>
      <c r="V9">
        <v>47.349999999998545</v>
      </c>
      <c r="W9">
        <v>47.349999999999994</v>
      </c>
      <c r="X9">
        <v>1.24</v>
      </c>
    </row>
    <row r="10" spans="1:24" x14ac:dyDescent="0.3">
      <c r="A10">
        <v>55</v>
      </c>
      <c r="B10" s="1">
        <v>45848</v>
      </c>
      <c r="C10">
        <v>0.35670000000000002</v>
      </c>
      <c r="D10" t="s">
        <v>239</v>
      </c>
      <c r="E10">
        <v>0.49280000000000002</v>
      </c>
      <c r="F10">
        <v>575550</v>
      </c>
      <c r="G10">
        <v>11.76</v>
      </c>
      <c r="H10">
        <v>19.3735</v>
      </c>
      <c r="I10">
        <v>-8.7246000000000006</v>
      </c>
      <c r="J10">
        <v>1728375</v>
      </c>
      <c r="K10" s="30">
        <v>220.7</v>
      </c>
      <c r="L10" s="2">
        <v>25700</v>
      </c>
      <c r="M10">
        <v>222</v>
      </c>
      <c r="N10">
        <v>882450</v>
      </c>
      <c r="O10">
        <v>-8.1777999999999995</v>
      </c>
      <c r="P10">
        <v>19.372499999999999</v>
      </c>
      <c r="Q10">
        <v>11.02</v>
      </c>
      <c r="R10">
        <v>205275</v>
      </c>
      <c r="S10">
        <v>-0.50819999999999999</v>
      </c>
      <c r="T10" t="s">
        <v>240</v>
      </c>
      <c r="U10">
        <v>25697.35</v>
      </c>
      <c r="V10">
        <v>2.6500000000014552</v>
      </c>
      <c r="W10">
        <v>-1.3000000000000114</v>
      </c>
      <c r="X10">
        <v>0.99</v>
      </c>
    </row>
    <row r="11" spans="1:24" x14ac:dyDescent="0.3">
      <c r="A11">
        <v>56</v>
      </c>
      <c r="B11" s="1">
        <v>45848</v>
      </c>
      <c r="C11">
        <v>0.57869999999999999</v>
      </c>
      <c r="D11" t="s">
        <v>241</v>
      </c>
      <c r="E11">
        <v>0.45750000000000002</v>
      </c>
      <c r="F11">
        <v>118200</v>
      </c>
      <c r="G11">
        <v>11.63</v>
      </c>
      <c r="H11">
        <v>19.266400000000001</v>
      </c>
      <c r="I11">
        <v>-8.5807000000000002</v>
      </c>
      <c r="J11">
        <v>454725</v>
      </c>
      <c r="K11" s="30">
        <v>194.65</v>
      </c>
      <c r="L11" s="2">
        <v>25750</v>
      </c>
      <c r="M11">
        <v>245.55</v>
      </c>
      <c r="N11">
        <v>278850</v>
      </c>
      <c r="O11">
        <v>-8.0553000000000008</v>
      </c>
      <c r="P11">
        <v>19.248799999999999</v>
      </c>
      <c r="Q11">
        <v>10.93</v>
      </c>
      <c r="R11">
        <v>68400</v>
      </c>
      <c r="S11">
        <v>-0.54579999999999995</v>
      </c>
      <c r="T11" t="s">
        <v>242</v>
      </c>
      <c r="U11">
        <v>25697.35</v>
      </c>
      <c r="V11">
        <v>52.650000000001455</v>
      </c>
      <c r="W11">
        <v>-50.900000000000006</v>
      </c>
      <c r="X11">
        <v>0.79</v>
      </c>
    </row>
    <row r="12" spans="1:24" x14ac:dyDescent="0.3">
      <c r="A12">
        <v>57</v>
      </c>
      <c r="B12" s="1">
        <v>45848</v>
      </c>
      <c r="C12">
        <v>0.31809999999999999</v>
      </c>
      <c r="D12" t="s">
        <v>255</v>
      </c>
      <c r="E12">
        <v>0.42159999999999997</v>
      </c>
      <c r="F12">
        <v>385275</v>
      </c>
      <c r="G12">
        <v>11.48</v>
      </c>
      <c r="H12">
        <v>19.001300000000001</v>
      </c>
      <c r="I12">
        <v>-8.3571000000000009</v>
      </c>
      <c r="J12">
        <v>1808850</v>
      </c>
      <c r="K12" s="30">
        <v>170.55</v>
      </c>
      <c r="L12" s="2">
        <v>25800</v>
      </c>
      <c r="M12">
        <v>271.64999999999998</v>
      </c>
      <c r="N12">
        <v>442275</v>
      </c>
      <c r="O12">
        <v>-7.8059000000000003</v>
      </c>
      <c r="P12">
        <v>18.943999999999999</v>
      </c>
      <c r="Q12">
        <v>10.76</v>
      </c>
      <c r="R12">
        <v>122550</v>
      </c>
      <c r="S12">
        <v>-0.58420000000000005</v>
      </c>
      <c r="T12" t="s">
        <v>256</v>
      </c>
      <c r="U12">
        <v>25697.35</v>
      </c>
      <c r="V12">
        <v>102.65000000000146</v>
      </c>
      <c r="W12">
        <v>-101.09999999999997</v>
      </c>
      <c r="X12">
        <v>0.63</v>
      </c>
    </row>
    <row r="13" spans="1:24" x14ac:dyDescent="0.3">
      <c r="A13">
        <v>58</v>
      </c>
      <c r="B13" s="1">
        <v>45848</v>
      </c>
      <c r="C13">
        <v>0.59919999999999995</v>
      </c>
      <c r="D13" t="s">
        <v>263</v>
      </c>
      <c r="E13">
        <v>0.3866</v>
      </c>
      <c r="F13">
        <v>72225</v>
      </c>
      <c r="G13">
        <v>11.44</v>
      </c>
      <c r="H13">
        <v>18.589099999999998</v>
      </c>
      <c r="I13">
        <v>-8.1458999999999993</v>
      </c>
      <c r="J13">
        <v>374550</v>
      </c>
      <c r="K13" s="30">
        <v>148.94999999999999</v>
      </c>
      <c r="L13" s="2">
        <v>25850</v>
      </c>
      <c r="M13">
        <v>300.05</v>
      </c>
      <c r="N13">
        <v>96150</v>
      </c>
      <c r="O13">
        <v>-7.5138999999999996</v>
      </c>
      <c r="P13">
        <v>18.457899999999999</v>
      </c>
      <c r="Q13">
        <v>10.63</v>
      </c>
      <c r="R13">
        <v>43275</v>
      </c>
      <c r="S13">
        <v>-0.62239999999999995</v>
      </c>
      <c r="T13" t="s">
        <v>264</v>
      </c>
      <c r="U13">
        <v>25697.35</v>
      </c>
      <c r="V13">
        <v>152.65000000000146</v>
      </c>
      <c r="W13">
        <v>-151.10000000000002</v>
      </c>
      <c r="X13">
        <v>0.5</v>
      </c>
    </row>
    <row r="14" spans="1:24" x14ac:dyDescent="0.3">
      <c r="A14">
        <v>59</v>
      </c>
      <c r="B14" s="1">
        <v>45848</v>
      </c>
      <c r="C14">
        <v>7.9200000000000007E-2</v>
      </c>
      <c r="D14" t="s">
        <v>271</v>
      </c>
      <c r="E14">
        <v>0.35189999999999999</v>
      </c>
      <c r="F14">
        <v>461400</v>
      </c>
      <c r="G14">
        <v>11.36</v>
      </c>
      <c r="H14">
        <v>18.026499999999999</v>
      </c>
      <c r="I14">
        <v>-7.8467000000000002</v>
      </c>
      <c r="J14">
        <v>1536525</v>
      </c>
      <c r="K14" s="30">
        <v>129.4</v>
      </c>
      <c r="L14" s="2">
        <v>25900</v>
      </c>
      <c r="M14">
        <v>334.7</v>
      </c>
      <c r="N14">
        <v>79050</v>
      </c>
      <c r="O14">
        <v>-7.3380000000000001</v>
      </c>
      <c r="P14">
        <v>17.859000000000002</v>
      </c>
      <c r="Q14">
        <v>10.73</v>
      </c>
      <c r="R14">
        <v>36525</v>
      </c>
      <c r="S14">
        <v>-0.65690000000000004</v>
      </c>
      <c r="T14" t="s">
        <v>272</v>
      </c>
      <c r="U14">
        <v>25697.35</v>
      </c>
      <c r="V14">
        <v>202.65000000000146</v>
      </c>
      <c r="W14">
        <v>-205.29999999999998</v>
      </c>
      <c r="X14">
        <v>0.39</v>
      </c>
    </row>
    <row r="15" spans="1:24" x14ac:dyDescent="0.3">
      <c r="A15">
        <v>60</v>
      </c>
      <c r="B15" s="1">
        <v>45848</v>
      </c>
      <c r="C15">
        <v>7.22E-2</v>
      </c>
      <c r="D15" t="s">
        <v>273</v>
      </c>
      <c r="E15">
        <v>0.31730000000000003</v>
      </c>
      <c r="F15">
        <v>117375</v>
      </c>
      <c r="G15">
        <v>11.24</v>
      </c>
      <c r="H15">
        <v>17.306899999999999</v>
      </c>
      <c r="I15">
        <v>-7.45</v>
      </c>
      <c r="J15">
        <v>705000</v>
      </c>
      <c r="K15" s="30">
        <v>110.9</v>
      </c>
      <c r="L15" s="2">
        <v>25950</v>
      </c>
      <c r="M15">
        <v>374.3</v>
      </c>
      <c r="N15">
        <v>24525</v>
      </c>
      <c r="O15">
        <v>-7.2967000000000004</v>
      </c>
      <c r="P15">
        <v>17.237300000000001</v>
      </c>
      <c r="Q15">
        <v>11.05</v>
      </c>
      <c r="R15">
        <v>8475</v>
      </c>
      <c r="S15">
        <v>-0.68569999999999998</v>
      </c>
      <c r="T15" t="s">
        <v>274</v>
      </c>
      <c r="U15">
        <v>25697.35</v>
      </c>
      <c r="V15">
        <v>252.65000000000146</v>
      </c>
      <c r="W15">
        <v>-263.39999999999998</v>
      </c>
      <c r="X15">
        <v>0.3</v>
      </c>
    </row>
    <row r="16" spans="1:24" x14ac:dyDescent="0.3">
      <c r="A16">
        <v>61</v>
      </c>
      <c r="B16" s="1">
        <v>45848</v>
      </c>
      <c r="C16">
        <v>5.7000000000000002E-2</v>
      </c>
      <c r="D16" t="s">
        <v>285</v>
      </c>
      <c r="E16">
        <v>0.28420000000000001</v>
      </c>
      <c r="F16">
        <v>1262700</v>
      </c>
      <c r="G16">
        <v>11.15</v>
      </c>
      <c r="H16">
        <v>16.468399999999999</v>
      </c>
      <c r="I16">
        <v>-7.0361000000000002</v>
      </c>
      <c r="J16">
        <v>4071225</v>
      </c>
      <c r="K16" s="30">
        <v>95.25</v>
      </c>
      <c r="L16" s="2">
        <v>26000</v>
      </c>
      <c r="M16">
        <v>401.8</v>
      </c>
      <c r="N16">
        <v>166575</v>
      </c>
      <c r="O16">
        <v>-6.5350999999999999</v>
      </c>
      <c r="P16">
        <v>16.151800000000001</v>
      </c>
      <c r="Q16">
        <v>10.56</v>
      </c>
      <c r="R16">
        <v>72000</v>
      </c>
      <c r="S16">
        <v>-0.72689999999999999</v>
      </c>
      <c r="T16" t="s">
        <v>286</v>
      </c>
      <c r="U16">
        <v>25697.35</v>
      </c>
      <c r="V16">
        <v>302.65000000000146</v>
      </c>
      <c r="W16">
        <v>-306.55</v>
      </c>
      <c r="X16">
        <v>0.24</v>
      </c>
    </row>
    <row r="17" spans="1:24" x14ac:dyDescent="0.3">
      <c r="A17">
        <v>62</v>
      </c>
      <c r="B17" s="1">
        <v>45848</v>
      </c>
      <c r="C17">
        <v>6.1400000000000003E-2</v>
      </c>
      <c r="D17" t="s">
        <v>287</v>
      </c>
      <c r="E17">
        <v>0.25269999999999998</v>
      </c>
      <c r="F17">
        <v>78225</v>
      </c>
      <c r="G17">
        <v>11.08</v>
      </c>
      <c r="H17">
        <v>15.521599999999999</v>
      </c>
      <c r="I17">
        <v>-6.5861999999999998</v>
      </c>
      <c r="J17">
        <v>466875</v>
      </c>
      <c r="K17" s="30">
        <v>80.650000000000006</v>
      </c>
      <c r="L17" s="2">
        <v>26050</v>
      </c>
      <c r="M17">
        <v>433.65</v>
      </c>
      <c r="N17">
        <v>12750</v>
      </c>
      <c r="O17">
        <v>-5.8139000000000003</v>
      </c>
      <c r="P17">
        <v>14.8912</v>
      </c>
      <c r="Q17">
        <v>10.19</v>
      </c>
      <c r="R17">
        <v>4800</v>
      </c>
      <c r="S17">
        <v>-0.76600000000000001</v>
      </c>
      <c r="T17" t="s">
        <v>288</v>
      </c>
      <c r="U17">
        <v>25697.35</v>
      </c>
      <c r="V17">
        <v>352.65000000000146</v>
      </c>
      <c r="W17">
        <v>-353</v>
      </c>
      <c r="X17">
        <v>0.19</v>
      </c>
    </row>
    <row r="18" spans="1:24" x14ac:dyDescent="0.3">
      <c r="A18">
        <v>63</v>
      </c>
      <c r="B18" s="1">
        <v>45848</v>
      </c>
      <c r="C18">
        <v>3.0800000000000001E-2</v>
      </c>
      <c r="D18" t="s">
        <v>367</v>
      </c>
      <c r="E18">
        <v>0.22239999999999999</v>
      </c>
      <c r="F18">
        <v>450225</v>
      </c>
      <c r="G18">
        <v>10.99</v>
      </c>
      <c r="H18">
        <v>14.470800000000001</v>
      </c>
      <c r="I18">
        <v>-6.0895999999999999</v>
      </c>
      <c r="J18">
        <v>1695525</v>
      </c>
      <c r="K18" s="30">
        <v>67.599999999999994</v>
      </c>
      <c r="L18" s="2">
        <v>26100</v>
      </c>
      <c r="M18">
        <v>467.4</v>
      </c>
      <c r="N18">
        <v>54375</v>
      </c>
      <c r="O18">
        <v>-5.0122999999999998</v>
      </c>
      <c r="P18">
        <v>13.3787</v>
      </c>
      <c r="Q18">
        <v>9.7799999999999994</v>
      </c>
      <c r="R18">
        <v>13875</v>
      </c>
      <c r="S18">
        <v>-0.80530000000000002</v>
      </c>
      <c r="T18" t="s">
        <v>368</v>
      </c>
      <c r="U18">
        <v>25697.35</v>
      </c>
      <c r="V18">
        <v>402.65000000000146</v>
      </c>
      <c r="W18">
        <v>-399.79999999999995</v>
      </c>
      <c r="X18">
        <v>0.14000000000000001</v>
      </c>
    </row>
    <row r="19" spans="1:24" x14ac:dyDescent="0.3">
      <c r="A19">
        <v>97</v>
      </c>
      <c r="B19" s="1">
        <v>45834</v>
      </c>
      <c r="C19">
        <v>0.40689999999999998</v>
      </c>
      <c r="D19" t="s">
        <v>82</v>
      </c>
      <c r="E19">
        <v>0.32269999999999999</v>
      </c>
      <c r="F19">
        <v>363150</v>
      </c>
      <c r="G19">
        <v>13.32</v>
      </c>
      <c r="H19">
        <v>13.2333</v>
      </c>
      <c r="I19">
        <v>-10.9376</v>
      </c>
      <c r="J19">
        <v>1869300</v>
      </c>
      <c r="K19" s="30">
        <v>101.8</v>
      </c>
      <c r="L19" s="2">
        <v>25050</v>
      </c>
      <c r="M19">
        <v>333.2</v>
      </c>
      <c r="N19">
        <v>403800</v>
      </c>
      <c r="O19">
        <v>-10.8611</v>
      </c>
      <c r="P19">
        <v>13.2164</v>
      </c>
      <c r="Q19">
        <v>13.24</v>
      </c>
      <c r="R19">
        <v>147750</v>
      </c>
      <c r="S19">
        <v>-0.67830000000000001</v>
      </c>
      <c r="T19" t="s">
        <v>83</v>
      </c>
      <c r="U19">
        <v>24816.5</v>
      </c>
      <c r="V19">
        <v>233.5</v>
      </c>
      <c r="W19">
        <v>-231.39999999999998</v>
      </c>
      <c r="X19">
        <v>0.31</v>
      </c>
    </row>
    <row r="20" spans="1:24" x14ac:dyDescent="0.3">
      <c r="A20">
        <v>98</v>
      </c>
      <c r="B20" s="1">
        <v>45834</v>
      </c>
      <c r="C20">
        <v>0.43569999999999998</v>
      </c>
      <c r="D20" t="s">
        <v>84</v>
      </c>
      <c r="E20">
        <v>0.28639999999999999</v>
      </c>
      <c r="F20">
        <v>1773075</v>
      </c>
      <c r="G20">
        <v>13.25</v>
      </c>
      <c r="H20">
        <v>12.5486</v>
      </c>
      <c r="I20">
        <v>-10.318199999999999</v>
      </c>
      <c r="J20">
        <v>5588850</v>
      </c>
      <c r="K20" s="30">
        <v>86.3</v>
      </c>
      <c r="L20" s="2">
        <v>25100</v>
      </c>
      <c r="M20">
        <v>368.6</v>
      </c>
      <c r="N20">
        <v>921975</v>
      </c>
      <c r="O20">
        <v>-10.294499999999999</v>
      </c>
      <c r="P20">
        <v>12.541399999999999</v>
      </c>
      <c r="Q20">
        <v>13.23</v>
      </c>
      <c r="R20">
        <v>772500</v>
      </c>
      <c r="S20">
        <v>-0.71389999999999998</v>
      </c>
      <c r="T20" t="s">
        <v>85</v>
      </c>
      <c r="U20">
        <v>24816.5</v>
      </c>
      <c r="V20">
        <v>283.5</v>
      </c>
      <c r="W20">
        <v>-282.3</v>
      </c>
      <c r="X20">
        <v>0.23</v>
      </c>
    </row>
    <row r="21" spans="1:24" x14ac:dyDescent="0.3">
      <c r="A21">
        <v>99</v>
      </c>
      <c r="B21" s="1">
        <v>45834</v>
      </c>
      <c r="C21">
        <v>0.31019999999999998</v>
      </c>
      <c r="D21" t="s">
        <v>86</v>
      </c>
      <c r="E21">
        <v>0.252</v>
      </c>
      <c r="F21">
        <v>512250</v>
      </c>
      <c r="G21">
        <v>13.19</v>
      </c>
      <c r="H21">
        <v>11.7681</v>
      </c>
      <c r="I21">
        <v>-9.6318999999999999</v>
      </c>
      <c r="J21">
        <v>2031900</v>
      </c>
      <c r="K21" s="30">
        <v>72.599999999999994</v>
      </c>
      <c r="L21" s="2">
        <v>25150</v>
      </c>
      <c r="M21">
        <v>405</v>
      </c>
      <c r="N21">
        <v>194925</v>
      </c>
      <c r="O21">
        <v>-9.6644000000000005</v>
      </c>
      <c r="P21">
        <v>11.7806</v>
      </c>
      <c r="Q21">
        <v>13.22</v>
      </c>
      <c r="R21">
        <v>158925</v>
      </c>
      <c r="S21">
        <v>-0.74750000000000005</v>
      </c>
      <c r="T21" t="s">
        <v>87</v>
      </c>
      <c r="U21">
        <v>24816.5</v>
      </c>
      <c r="V21">
        <v>333.5</v>
      </c>
      <c r="W21">
        <v>-332.4</v>
      </c>
      <c r="X21">
        <v>0.18</v>
      </c>
    </row>
    <row r="22" spans="1:24" x14ac:dyDescent="0.3">
      <c r="A22">
        <v>100</v>
      </c>
      <c r="B22" s="1">
        <v>45834</v>
      </c>
      <c r="C22">
        <v>0.28670000000000001</v>
      </c>
      <c r="D22" t="s">
        <v>88</v>
      </c>
      <c r="E22">
        <v>0.21929999999999999</v>
      </c>
      <c r="F22">
        <v>3390075</v>
      </c>
      <c r="G22">
        <v>13.11</v>
      </c>
      <c r="H22">
        <v>10.898899999999999</v>
      </c>
      <c r="I22">
        <v>-8.8635999999999999</v>
      </c>
      <c r="J22">
        <v>8408925</v>
      </c>
      <c r="K22" s="30">
        <v>59.85</v>
      </c>
      <c r="L22" s="2">
        <v>25200</v>
      </c>
      <c r="M22">
        <v>440.35</v>
      </c>
      <c r="N22">
        <v>1015950</v>
      </c>
      <c r="O22">
        <v>-8.7302</v>
      </c>
      <c r="P22">
        <v>10.835699999999999</v>
      </c>
      <c r="Q22">
        <v>12.99</v>
      </c>
      <c r="R22">
        <v>972075</v>
      </c>
      <c r="S22">
        <v>-0.78290000000000004</v>
      </c>
      <c r="T22" t="s">
        <v>89</v>
      </c>
      <c r="U22">
        <v>24816.5</v>
      </c>
      <c r="V22">
        <v>383.5</v>
      </c>
      <c r="W22">
        <v>-380.5</v>
      </c>
      <c r="X22">
        <v>0.14000000000000001</v>
      </c>
    </row>
    <row r="23" spans="1:24" x14ac:dyDescent="0.3">
      <c r="A23">
        <v>101</v>
      </c>
      <c r="B23" s="1">
        <v>45834</v>
      </c>
      <c r="C23">
        <v>0.1203</v>
      </c>
      <c r="D23" t="s">
        <v>90</v>
      </c>
      <c r="E23">
        <v>0.19</v>
      </c>
      <c r="F23">
        <v>579375</v>
      </c>
      <c r="G23">
        <v>13.08</v>
      </c>
      <c r="H23">
        <v>10.0069</v>
      </c>
      <c r="I23">
        <v>-8.1240000000000006</v>
      </c>
      <c r="J23">
        <v>3578250</v>
      </c>
      <c r="K23" s="30">
        <v>49.85</v>
      </c>
      <c r="L23" s="2">
        <v>25250</v>
      </c>
      <c r="M23">
        <v>493.65</v>
      </c>
      <c r="N23">
        <v>88275</v>
      </c>
      <c r="O23">
        <v>-9.3717000000000006</v>
      </c>
      <c r="P23">
        <v>10.6266</v>
      </c>
      <c r="Q23">
        <v>14.21</v>
      </c>
      <c r="R23">
        <v>69675</v>
      </c>
      <c r="S23">
        <v>-0.79</v>
      </c>
      <c r="T23" t="s">
        <v>91</v>
      </c>
      <c r="U23">
        <v>24816.5</v>
      </c>
      <c r="V23">
        <v>433.5</v>
      </c>
      <c r="W23">
        <v>-443.79999999999995</v>
      </c>
      <c r="X23">
        <v>0.1</v>
      </c>
    </row>
    <row r="24" spans="1:24" x14ac:dyDescent="0.3">
      <c r="A24">
        <v>102</v>
      </c>
      <c r="B24" s="1">
        <v>45834</v>
      </c>
      <c r="C24">
        <v>0.16070000000000001</v>
      </c>
      <c r="D24" t="s">
        <v>154</v>
      </c>
      <c r="E24">
        <v>0.16200000000000001</v>
      </c>
      <c r="F24">
        <v>2190900</v>
      </c>
      <c r="G24">
        <v>13</v>
      </c>
      <c r="H24">
        <v>9.0469000000000008</v>
      </c>
      <c r="I24">
        <v>-7.2976000000000001</v>
      </c>
      <c r="J24">
        <v>7138575</v>
      </c>
      <c r="K24" s="30">
        <v>40.549999999999997</v>
      </c>
      <c r="L24" s="2">
        <v>25300</v>
      </c>
      <c r="M24">
        <v>520.04999999999995</v>
      </c>
      <c r="N24">
        <v>290400</v>
      </c>
      <c r="O24">
        <v>-6.9734999999999996</v>
      </c>
      <c r="P24">
        <v>8.8422999999999998</v>
      </c>
      <c r="Q24">
        <v>12.71</v>
      </c>
      <c r="R24">
        <v>352125</v>
      </c>
      <c r="S24">
        <v>-0.84350000000000003</v>
      </c>
      <c r="T24" t="s">
        <v>155</v>
      </c>
      <c r="U24">
        <v>24816.5</v>
      </c>
      <c r="V24">
        <v>483.5</v>
      </c>
      <c r="W24">
        <v>-479.49999999999994</v>
      </c>
      <c r="X24">
        <v>0.08</v>
      </c>
    </row>
    <row r="25" spans="1:24" x14ac:dyDescent="0.3">
      <c r="A25">
        <v>103</v>
      </c>
      <c r="B25" s="1">
        <v>45834</v>
      </c>
      <c r="C25">
        <v>0.1095</v>
      </c>
      <c r="D25" t="s">
        <v>174</v>
      </c>
      <c r="E25">
        <v>0.13789999999999999</v>
      </c>
      <c r="F25">
        <v>369825</v>
      </c>
      <c r="G25">
        <v>12.99</v>
      </c>
      <c r="H25">
        <v>8.1255000000000006</v>
      </c>
      <c r="I25">
        <v>-6.5465999999999998</v>
      </c>
      <c r="J25">
        <v>2968875</v>
      </c>
      <c r="K25" s="30">
        <v>33.299999999999997</v>
      </c>
      <c r="L25" s="2">
        <v>25350</v>
      </c>
      <c r="M25">
        <v>569.25</v>
      </c>
      <c r="N25">
        <v>8625</v>
      </c>
      <c r="O25">
        <v>-7.0826000000000002</v>
      </c>
      <c r="P25">
        <v>8.4769000000000005</v>
      </c>
      <c r="Q25">
        <v>13.47</v>
      </c>
      <c r="R25">
        <v>40500</v>
      </c>
      <c r="S25">
        <v>-0.85309999999999997</v>
      </c>
      <c r="T25" t="s">
        <v>175</v>
      </c>
      <c r="U25">
        <v>24816.5</v>
      </c>
      <c r="V25">
        <v>533.5</v>
      </c>
      <c r="W25">
        <v>-535.95000000000005</v>
      </c>
      <c r="X25">
        <v>0.06</v>
      </c>
    </row>
    <row r="26" spans="1:24" x14ac:dyDescent="0.3">
      <c r="A26">
        <v>104</v>
      </c>
      <c r="B26" s="1">
        <v>45834</v>
      </c>
      <c r="C26">
        <v>4.7899999999999998E-2</v>
      </c>
      <c r="D26" t="s">
        <v>178</v>
      </c>
      <c r="E26">
        <v>0.1164</v>
      </c>
      <c r="F26">
        <v>1606275</v>
      </c>
      <c r="G26">
        <v>12.97</v>
      </c>
      <c r="H26">
        <v>7.2195999999999998</v>
      </c>
      <c r="I26">
        <v>-5.8098999999999998</v>
      </c>
      <c r="J26">
        <v>5056500</v>
      </c>
      <c r="K26" s="30">
        <v>27</v>
      </c>
      <c r="L26" s="2">
        <v>25400</v>
      </c>
      <c r="M26">
        <v>612.75</v>
      </c>
      <c r="N26">
        <v>85950</v>
      </c>
      <c r="O26">
        <v>-6.3643999999999998</v>
      </c>
      <c r="P26">
        <v>7.6131000000000002</v>
      </c>
      <c r="Q26">
        <v>13.47</v>
      </c>
      <c r="R26">
        <v>76950</v>
      </c>
      <c r="S26">
        <v>-0.87450000000000006</v>
      </c>
      <c r="T26" t="s">
        <v>179</v>
      </c>
      <c r="U26">
        <v>24816.5</v>
      </c>
      <c r="V26">
        <v>583.5</v>
      </c>
      <c r="W26">
        <v>-585.75</v>
      </c>
      <c r="X26">
        <v>0.04</v>
      </c>
    </row>
    <row r="27" spans="1:24" x14ac:dyDescent="0.3">
      <c r="A27">
        <v>59</v>
      </c>
      <c r="B27" s="1">
        <v>45827</v>
      </c>
      <c r="C27">
        <v>3.8999999999999998E-3</v>
      </c>
      <c r="D27" t="s">
        <v>78</v>
      </c>
      <c r="E27">
        <v>0.13270000000000001</v>
      </c>
      <c r="F27">
        <v>270900</v>
      </c>
      <c r="G27">
        <v>11.69</v>
      </c>
      <c r="H27">
        <v>8.0886999999999993</v>
      </c>
      <c r="I27">
        <v>-5.8102</v>
      </c>
      <c r="J27">
        <v>898050</v>
      </c>
      <c r="K27" s="30">
        <v>29.35</v>
      </c>
      <c r="L27" s="2">
        <v>25750</v>
      </c>
      <c r="M27">
        <v>533</v>
      </c>
      <c r="N27">
        <v>2250</v>
      </c>
      <c r="O27">
        <v>-6.3945999999999996</v>
      </c>
      <c r="P27">
        <v>8.5238999999999994</v>
      </c>
      <c r="Q27">
        <v>12.21</v>
      </c>
      <c r="R27">
        <v>1050</v>
      </c>
      <c r="S27">
        <v>-0.85670000000000002</v>
      </c>
      <c r="T27" t="s">
        <v>79</v>
      </c>
      <c r="U27">
        <v>25246.1</v>
      </c>
      <c r="V27">
        <v>503.90000000000146</v>
      </c>
      <c r="W27">
        <v>-503.65</v>
      </c>
      <c r="X27">
        <v>0.06</v>
      </c>
    </row>
    <row r="28" spans="1:24" x14ac:dyDescent="0.3">
      <c r="A28">
        <v>60</v>
      </c>
      <c r="B28" s="1">
        <v>45827</v>
      </c>
      <c r="C28">
        <v>9.1999999999999998E-3</v>
      </c>
      <c r="D28" t="s">
        <v>80</v>
      </c>
      <c r="E28">
        <v>0.1094</v>
      </c>
      <c r="F28">
        <v>2464950</v>
      </c>
      <c r="G28">
        <v>11.64</v>
      </c>
      <c r="H28">
        <v>7.0602999999999998</v>
      </c>
      <c r="I28">
        <v>-5.0515999999999996</v>
      </c>
      <c r="J28">
        <v>5608800</v>
      </c>
      <c r="K28" s="30">
        <v>23.05</v>
      </c>
      <c r="L28" s="2">
        <v>25800</v>
      </c>
      <c r="M28">
        <v>579.04999999999995</v>
      </c>
      <c r="N28">
        <v>58800</v>
      </c>
      <c r="O28">
        <v>-6.0345000000000004</v>
      </c>
      <c r="P28">
        <v>7.8381999999999996</v>
      </c>
      <c r="Q28">
        <v>12.53</v>
      </c>
      <c r="R28">
        <v>22650</v>
      </c>
      <c r="S28">
        <v>-0.87319999999999998</v>
      </c>
      <c r="T28" t="s">
        <v>81</v>
      </c>
      <c r="U28">
        <v>25246.1</v>
      </c>
      <c r="V28">
        <v>553.90000000000146</v>
      </c>
      <c r="W28">
        <v>-556</v>
      </c>
      <c r="X28">
        <v>0.04</v>
      </c>
    </row>
    <row r="29" spans="1:24" x14ac:dyDescent="0.3">
      <c r="A29">
        <v>61</v>
      </c>
      <c r="B29" s="1">
        <v>45827</v>
      </c>
      <c r="C29">
        <v>1.8E-3</v>
      </c>
      <c r="D29" t="s">
        <v>108</v>
      </c>
      <c r="E29">
        <v>9.11E-2</v>
      </c>
      <c r="F29">
        <v>245550</v>
      </c>
      <c r="G29">
        <v>11.7</v>
      </c>
      <c r="H29">
        <v>6.1765999999999996</v>
      </c>
      <c r="I29">
        <v>-4.4424999999999999</v>
      </c>
      <c r="J29">
        <v>735825</v>
      </c>
      <c r="K29" s="30">
        <v>18.600000000000001</v>
      </c>
      <c r="L29" s="2">
        <v>25850</v>
      </c>
      <c r="M29">
        <v>640.04999999999995</v>
      </c>
      <c r="N29">
        <v>1125</v>
      </c>
      <c r="O29">
        <v>-7.7211999999999996</v>
      </c>
      <c r="P29">
        <v>8.5679999999999996</v>
      </c>
      <c r="Q29">
        <v>14.66</v>
      </c>
      <c r="R29">
        <v>450</v>
      </c>
      <c r="S29">
        <v>-0.85560000000000003</v>
      </c>
      <c r="T29" t="s">
        <v>109</v>
      </c>
      <c r="U29">
        <v>25246.1</v>
      </c>
      <c r="V29">
        <v>603.90000000000146</v>
      </c>
      <c r="W29">
        <v>-621.44999999999993</v>
      </c>
      <c r="X29">
        <v>0.03</v>
      </c>
    </row>
    <row r="30" spans="1:24" x14ac:dyDescent="0.3">
      <c r="A30">
        <v>62</v>
      </c>
      <c r="B30" s="1">
        <v>45827</v>
      </c>
      <c r="C30">
        <v>8.3999999999999995E-3</v>
      </c>
      <c r="D30" t="s">
        <v>124</v>
      </c>
      <c r="E30">
        <v>7.4800000000000005E-2</v>
      </c>
      <c r="F30">
        <v>715575</v>
      </c>
      <c r="G30">
        <v>11.73</v>
      </c>
      <c r="H30">
        <v>5.3259999999999996</v>
      </c>
      <c r="I30">
        <v>-3.8407</v>
      </c>
      <c r="J30">
        <v>2513700</v>
      </c>
      <c r="K30" s="30">
        <v>14.75</v>
      </c>
      <c r="L30" s="2">
        <v>25900</v>
      </c>
      <c r="M30">
        <v>675</v>
      </c>
      <c r="N30">
        <v>13425</v>
      </c>
      <c r="O30">
        <v>-5.7176</v>
      </c>
      <c r="P30">
        <v>6.8895</v>
      </c>
      <c r="Q30">
        <v>13.5</v>
      </c>
      <c r="R30">
        <v>6000</v>
      </c>
      <c r="S30">
        <v>-0.89429999999999998</v>
      </c>
      <c r="T30" t="s">
        <v>125</v>
      </c>
      <c r="U30">
        <v>25246.1</v>
      </c>
      <c r="V30">
        <v>653.90000000000146</v>
      </c>
      <c r="W30">
        <v>-660.25</v>
      </c>
      <c r="X30">
        <v>0.02</v>
      </c>
    </row>
    <row r="31" spans="1:24" x14ac:dyDescent="0.3">
      <c r="A31">
        <v>63</v>
      </c>
      <c r="B31" s="1">
        <v>45827</v>
      </c>
      <c r="C31">
        <v>6.9999999999999999E-4</v>
      </c>
      <c r="D31" t="s">
        <v>126</v>
      </c>
      <c r="E31">
        <v>6.2399999999999997E-2</v>
      </c>
      <c r="F31">
        <v>303750</v>
      </c>
      <c r="G31">
        <v>11.86</v>
      </c>
      <c r="H31">
        <v>4.6313000000000004</v>
      </c>
      <c r="I31">
        <v>-3.3744999999999998</v>
      </c>
      <c r="J31">
        <v>763650</v>
      </c>
      <c r="K31" s="30">
        <v>12</v>
      </c>
      <c r="L31" s="2">
        <v>25950</v>
      </c>
      <c r="M31">
        <v>889.65</v>
      </c>
      <c r="N31">
        <v>0</v>
      </c>
      <c r="O31">
        <v>-23.309799999999999</v>
      </c>
      <c r="P31">
        <v>12.6502</v>
      </c>
      <c r="Q31">
        <v>29.98</v>
      </c>
      <c r="R31">
        <v>225</v>
      </c>
      <c r="S31">
        <v>-0.7218</v>
      </c>
      <c r="T31" t="s">
        <v>127</v>
      </c>
      <c r="U31">
        <v>25246.1</v>
      </c>
      <c r="V31">
        <v>703.90000000000146</v>
      </c>
      <c r="W31">
        <v>-877.65</v>
      </c>
      <c r="X31">
        <v>0.01</v>
      </c>
    </row>
    <row r="32" spans="1:24" x14ac:dyDescent="0.3">
      <c r="A32">
        <v>64</v>
      </c>
      <c r="B32" s="1">
        <v>45827</v>
      </c>
      <c r="C32">
        <v>3.3999999999999998E-3</v>
      </c>
      <c r="D32" t="s">
        <v>128</v>
      </c>
      <c r="E32">
        <v>5.1200000000000002E-2</v>
      </c>
      <c r="F32">
        <v>2654025</v>
      </c>
      <c r="G32">
        <v>11.93</v>
      </c>
      <c r="H32">
        <v>3.9647000000000001</v>
      </c>
      <c r="I32">
        <v>-2.9073000000000002</v>
      </c>
      <c r="J32">
        <v>6539250</v>
      </c>
      <c r="K32" s="30">
        <v>9.6999999999999993</v>
      </c>
      <c r="L32" s="2">
        <v>26000</v>
      </c>
      <c r="M32">
        <v>767.9</v>
      </c>
      <c r="N32">
        <v>19575</v>
      </c>
      <c r="O32">
        <v>-4.7026000000000003</v>
      </c>
      <c r="P32">
        <v>5.5534999999999997</v>
      </c>
      <c r="Q32">
        <v>13.78</v>
      </c>
      <c r="R32">
        <v>8925</v>
      </c>
      <c r="S32">
        <v>-0.92100000000000004</v>
      </c>
      <c r="T32" t="s">
        <v>129</v>
      </c>
      <c r="U32">
        <v>25246.1</v>
      </c>
      <c r="V32">
        <v>753.90000000000146</v>
      </c>
      <c r="W32">
        <v>-758.19999999999993</v>
      </c>
      <c r="X32">
        <v>0.01</v>
      </c>
    </row>
    <row r="33" spans="2:2" x14ac:dyDescent="0.3">
      <c r="B33" s="1"/>
    </row>
    <row r="34" spans="2:2" x14ac:dyDescent="0.3">
      <c r="B34" s="1"/>
    </row>
    <row r="35" spans="2:2" x14ac:dyDescent="0.3">
      <c r="B35" s="1"/>
    </row>
    <row r="36" spans="2:2" x14ac:dyDescent="0.3">
      <c r="B36" s="1"/>
    </row>
    <row r="37" spans="2:2" x14ac:dyDescent="0.3">
      <c r="B37" s="1"/>
    </row>
    <row r="38" spans="2:2" x14ac:dyDescent="0.3">
      <c r="B38" s="1"/>
    </row>
    <row r="39" spans="2:2" x14ac:dyDescent="0.3">
      <c r="B39" s="1"/>
    </row>
    <row r="40" spans="2:2" x14ac:dyDescent="0.3">
      <c r="B40" s="1"/>
    </row>
    <row r="41" spans="2:2" x14ac:dyDescent="0.3">
      <c r="B41" s="1"/>
    </row>
    <row r="42" spans="2:2" x14ac:dyDescent="0.3">
      <c r="B42" s="1"/>
    </row>
    <row r="43" spans="2:2" x14ac:dyDescent="0.3">
      <c r="B43" s="1"/>
    </row>
    <row r="44" spans="2:2" x14ac:dyDescent="0.3">
      <c r="B44" s="1"/>
    </row>
    <row r="45" spans="2:2" x14ac:dyDescent="0.3">
      <c r="B45" s="1"/>
    </row>
    <row r="46" spans="2:2" x14ac:dyDescent="0.3">
      <c r="B46" s="1"/>
    </row>
    <row r="47" spans="2:2" x14ac:dyDescent="0.3">
      <c r="B47" s="1"/>
    </row>
    <row r="48" spans="2:2" x14ac:dyDescent="0.3">
      <c r="B48" s="1"/>
    </row>
    <row r="49" spans="2:2" x14ac:dyDescent="0.3">
      <c r="B49" s="1"/>
    </row>
    <row r="50" spans="2:2" x14ac:dyDescent="0.3">
      <c r="B50" s="1"/>
    </row>
    <row r="51" spans="2:2" x14ac:dyDescent="0.3">
      <c r="B51" s="1"/>
    </row>
    <row r="52" spans="2:2" x14ac:dyDescent="0.3">
      <c r="B52" s="1"/>
    </row>
    <row r="53" spans="2:2" x14ac:dyDescent="0.3">
      <c r="B53" s="1"/>
    </row>
    <row r="54" spans="2:2" x14ac:dyDescent="0.3">
      <c r="B54" s="1"/>
    </row>
    <row r="55" spans="2:2" x14ac:dyDescent="0.3">
      <c r="B55" s="1"/>
    </row>
    <row r="56" spans="2:2" x14ac:dyDescent="0.3">
      <c r="B56" s="1"/>
    </row>
    <row r="57" spans="2:2" x14ac:dyDescent="0.3">
      <c r="B57" s="1"/>
    </row>
    <row r="58" spans="2:2" x14ac:dyDescent="0.3">
      <c r="B58" s="1"/>
    </row>
    <row r="59" spans="2:2" x14ac:dyDescent="0.3">
      <c r="B59" s="1"/>
    </row>
    <row r="60" spans="2:2" x14ac:dyDescent="0.3">
      <c r="B60" s="1"/>
    </row>
    <row r="61" spans="2:2" x14ac:dyDescent="0.3">
      <c r="B61" s="1"/>
    </row>
    <row r="62" spans="2:2" x14ac:dyDescent="0.3">
      <c r="B62" s="1"/>
    </row>
  </sheetData>
  <conditionalFormatting sqref="A2:X62">
    <cfRule type="expression" dxfId="3" priority="1">
      <formula>$V2=MIN($V$2:$V$100)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62"/>
  <sheetViews>
    <sheetView workbookViewId="0">
      <pane ySplit="1" topLeftCell="A2" activePane="bottomLeft" state="frozen"/>
      <selection pane="bottomLeft" activeCell="F11" sqref="F11"/>
    </sheetView>
  </sheetViews>
  <sheetFormatPr defaultRowHeight="14.4" x14ac:dyDescent="0.3"/>
  <cols>
    <col min="2" max="2" width="10.33203125" bestFit="1" customWidth="1"/>
    <col min="11" max="11" width="8.88671875" style="30"/>
    <col min="12" max="12" width="8.88671875" style="2"/>
    <col min="18" max="18" width="16.6640625" bestFit="1" customWidth="1"/>
  </cols>
  <sheetData>
    <row r="1" spans="1:24" x14ac:dyDescent="0.3"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52</v>
      </c>
      <c r="K1" s="30" t="s">
        <v>10</v>
      </c>
      <c r="L1" s="2" t="s">
        <v>11</v>
      </c>
      <c r="M1" t="s">
        <v>12</v>
      </c>
      <c r="N1" t="s">
        <v>53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</row>
    <row r="2" spans="1:24" x14ac:dyDescent="0.3">
      <c r="A2">
        <v>47</v>
      </c>
      <c r="B2" s="1">
        <v>45855</v>
      </c>
      <c r="C2">
        <v>2.1781000000000001</v>
      </c>
      <c r="D2" t="s">
        <v>289</v>
      </c>
      <c r="E2">
        <v>0.70979999999999999</v>
      </c>
      <c r="F2">
        <v>27375</v>
      </c>
      <c r="G2">
        <v>12.7</v>
      </c>
      <c r="H2">
        <v>20.632100000000001</v>
      </c>
      <c r="I2">
        <v>-6.5347999999999997</v>
      </c>
      <c r="J2">
        <v>24600</v>
      </c>
      <c r="K2" s="30">
        <v>550.1</v>
      </c>
      <c r="L2" s="2">
        <v>25300</v>
      </c>
      <c r="M2">
        <v>136.65</v>
      </c>
      <c r="N2">
        <v>98700</v>
      </c>
      <c r="O2">
        <v>-6.3776999999999999</v>
      </c>
      <c r="P2">
        <v>20.5181</v>
      </c>
      <c r="Q2">
        <v>12.47</v>
      </c>
      <c r="R2">
        <v>59625</v>
      </c>
      <c r="S2">
        <v>-0.2868</v>
      </c>
      <c r="T2" t="s">
        <v>290</v>
      </c>
      <c r="U2">
        <v>25715</v>
      </c>
      <c r="V2">
        <v>415</v>
      </c>
      <c r="W2">
        <v>413.45000000000005</v>
      </c>
      <c r="X2">
        <v>4.03</v>
      </c>
    </row>
    <row r="3" spans="1:24" x14ac:dyDescent="0.3">
      <c r="A3">
        <v>48</v>
      </c>
      <c r="B3" s="1">
        <v>45855</v>
      </c>
      <c r="C3">
        <v>2.38</v>
      </c>
      <c r="D3" t="s">
        <v>291</v>
      </c>
      <c r="E3">
        <v>0.68959999999999999</v>
      </c>
      <c r="F3">
        <v>3750</v>
      </c>
      <c r="G3">
        <v>12.49</v>
      </c>
      <c r="H3">
        <v>21.272400000000001</v>
      </c>
      <c r="I3">
        <v>-6.6222000000000003</v>
      </c>
      <c r="J3">
        <v>2100</v>
      </c>
      <c r="K3" s="30">
        <v>511</v>
      </c>
      <c r="L3" s="2">
        <v>25350</v>
      </c>
      <c r="M3">
        <v>149.25</v>
      </c>
      <c r="N3">
        <v>7950</v>
      </c>
      <c r="O3">
        <v>-6.5251000000000001</v>
      </c>
      <c r="P3">
        <v>21.213100000000001</v>
      </c>
      <c r="Q3">
        <v>12.34</v>
      </c>
      <c r="R3">
        <v>8925</v>
      </c>
      <c r="S3">
        <v>-0.3085</v>
      </c>
      <c r="T3" t="s">
        <v>292</v>
      </c>
      <c r="U3">
        <v>25715</v>
      </c>
      <c r="V3">
        <v>365</v>
      </c>
      <c r="W3">
        <v>361.75</v>
      </c>
      <c r="X3">
        <v>3.42</v>
      </c>
    </row>
    <row r="4" spans="1:24" x14ac:dyDescent="0.3">
      <c r="A4">
        <v>49</v>
      </c>
      <c r="B4" s="1">
        <v>45855</v>
      </c>
      <c r="C4">
        <v>1.2241</v>
      </c>
      <c r="D4" t="s">
        <v>293</v>
      </c>
      <c r="E4">
        <v>0.66749999999999998</v>
      </c>
      <c r="F4">
        <v>35475</v>
      </c>
      <c r="G4">
        <v>12.31</v>
      </c>
      <c r="H4">
        <v>21.888200000000001</v>
      </c>
      <c r="I4">
        <v>-6.7161</v>
      </c>
      <c r="J4">
        <v>49425</v>
      </c>
      <c r="K4" s="30">
        <v>473.75</v>
      </c>
      <c r="L4" s="2">
        <v>25400</v>
      </c>
      <c r="M4">
        <v>162.30000000000001</v>
      </c>
      <c r="N4">
        <v>56550</v>
      </c>
      <c r="O4">
        <v>-6.6329000000000002</v>
      </c>
      <c r="P4">
        <v>21.847200000000001</v>
      </c>
      <c r="Q4">
        <v>12.18</v>
      </c>
      <c r="R4">
        <v>43425</v>
      </c>
      <c r="S4">
        <v>-0.33090000000000003</v>
      </c>
      <c r="T4" t="s">
        <v>294</v>
      </c>
      <c r="U4">
        <v>25715</v>
      </c>
      <c r="V4">
        <v>315</v>
      </c>
      <c r="W4">
        <v>311.45</v>
      </c>
      <c r="X4">
        <v>2.92</v>
      </c>
    </row>
    <row r="5" spans="1:24" x14ac:dyDescent="0.3">
      <c r="A5">
        <v>50</v>
      </c>
      <c r="B5" s="1">
        <v>45855</v>
      </c>
      <c r="C5">
        <v>1.2692000000000001</v>
      </c>
      <c r="D5" t="s">
        <v>295</v>
      </c>
      <c r="E5">
        <v>0.64259999999999995</v>
      </c>
      <c r="F5">
        <v>3900</v>
      </c>
      <c r="G5">
        <v>12.28</v>
      </c>
      <c r="H5">
        <v>22.486699999999999</v>
      </c>
      <c r="I5">
        <v>-6.8868999999999998</v>
      </c>
      <c r="J5">
        <v>6225</v>
      </c>
      <c r="K5" s="30">
        <v>441</v>
      </c>
      <c r="L5" s="2">
        <v>25450</v>
      </c>
      <c r="M5">
        <v>176.5</v>
      </c>
      <c r="N5">
        <v>7050</v>
      </c>
      <c r="O5">
        <v>-6.7210000000000001</v>
      </c>
      <c r="P5">
        <v>22.4255</v>
      </c>
      <c r="Q5">
        <v>12.02</v>
      </c>
      <c r="R5">
        <v>4950</v>
      </c>
      <c r="S5">
        <v>-0.35460000000000003</v>
      </c>
      <c r="T5" t="s">
        <v>296</v>
      </c>
      <c r="U5">
        <v>25715</v>
      </c>
      <c r="V5">
        <v>265</v>
      </c>
      <c r="W5">
        <v>264.5</v>
      </c>
      <c r="X5">
        <v>2.5</v>
      </c>
    </row>
    <row r="6" spans="1:24" x14ac:dyDescent="0.3">
      <c r="A6">
        <v>51</v>
      </c>
      <c r="B6" s="1">
        <v>45855</v>
      </c>
      <c r="C6">
        <v>1.0933999999999999</v>
      </c>
      <c r="D6" t="s">
        <v>297</v>
      </c>
      <c r="E6">
        <v>0.61750000000000005</v>
      </c>
      <c r="F6">
        <v>82725</v>
      </c>
      <c r="G6">
        <v>12.21</v>
      </c>
      <c r="H6">
        <v>22.989599999999999</v>
      </c>
      <c r="I6">
        <v>-6.9992999999999999</v>
      </c>
      <c r="J6">
        <v>138075</v>
      </c>
      <c r="K6" s="30">
        <v>408.4</v>
      </c>
      <c r="L6" s="2">
        <v>25500</v>
      </c>
      <c r="M6">
        <v>192</v>
      </c>
      <c r="N6">
        <v>177450</v>
      </c>
      <c r="O6">
        <v>-6.7888000000000002</v>
      </c>
      <c r="P6">
        <v>22.935700000000001</v>
      </c>
      <c r="Q6">
        <v>11.87</v>
      </c>
      <c r="R6">
        <v>90450</v>
      </c>
      <c r="S6">
        <v>-0.3795</v>
      </c>
      <c r="T6" t="s">
        <v>298</v>
      </c>
      <c r="U6">
        <v>25715</v>
      </c>
      <c r="V6">
        <v>215</v>
      </c>
      <c r="W6">
        <v>216.39999999999998</v>
      </c>
      <c r="X6">
        <v>2.13</v>
      </c>
    </row>
    <row r="7" spans="1:24" x14ac:dyDescent="0.3">
      <c r="A7">
        <v>52</v>
      </c>
      <c r="B7" s="1">
        <v>45855</v>
      </c>
      <c r="C7">
        <v>0.92310000000000003</v>
      </c>
      <c r="D7" t="s">
        <v>299</v>
      </c>
      <c r="E7">
        <v>0.59140000000000004</v>
      </c>
      <c r="F7">
        <v>7800</v>
      </c>
      <c r="G7">
        <v>12.17</v>
      </c>
      <c r="H7">
        <v>23.405799999999999</v>
      </c>
      <c r="I7">
        <v>-7.0993000000000004</v>
      </c>
      <c r="J7">
        <v>17550</v>
      </c>
      <c r="K7" s="30">
        <v>377.7</v>
      </c>
      <c r="L7" s="2">
        <v>25550</v>
      </c>
      <c r="M7">
        <v>208.5</v>
      </c>
      <c r="N7">
        <v>14025</v>
      </c>
      <c r="O7">
        <v>-6.8217999999999996</v>
      </c>
      <c r="P7">
        <v>23.362400000000001</v>
      </c>
      <c r="Q7">
        <v>11.71</v>
      </c>
      <c r="R7">
        <v>7200</v>
      </c>
      <c r="S7">
        <v>-0.40550000000000003</v>
      </c>
      <c r="T7" t="s">
        <v>300</v>
      </c>
      <c r="U7">
        <v>25715</v>
      </c>
      <c r="V7">
        <v>165</v>
      </c>
      <c r="W7">
        <v>169.2</v>
      </c>
      <c r="X7">
        <v>1.81</v>
      </c>
    </row>
    <row r="8" spans="1:24" x14ac:dyDescent="0.3">
      <c r="A8">
        <v>53</v>
      </c>
      <c r="B8" s="1">
        <v>45855</v>
      </c>
      <c r="C8">
        <v>1.0547</v>
      </c>
      <c r="D8" t="s">
        <v>301</v>
      </c>
      <c r="E8">
        <v>0.56569999999999998</v>
      </c>
      <c r="F8">
        <v>32925</v>
      </c>
      <c r="G8">
        <v>11.93</v>
      </c>
      <c r="H8">
        <v>23.7136</v>
      </c>
      <c r="I8">
        <v>-7.0529000000000002</v>
      </c>
      <c r="J8">
        <v>129750</v>
      </c>
      <c r="K8" s="30">
        <v>343.75</v>
      </c>
      <c r="L8" s="2">
        <v>25600</v>
      </c>
      <c r="M8">
        <v>229.25</v>
      </c>
      <c r="N8">
        <v>78750</v>
      </c>
      <c r="O8">
        <v>-6.9028999999999998</v>
      </c>
      <c r="P8">
        <v>23.702100000000002</v>
      </c>
      <c r="Q8">
        <v>11.68</v>
      </c>
      <c r="R8">
        <v>34725</v>
      </c>
      <c r="S8">
        <v>-0.43319999999999997</v>
      </c>
      <c r="T8" t="s">
        <v>302</v>
      </c>
      <c r="U8">
        <v>25715</v>
      </c>
      <c r="V8">
        <v>115</v>
      </c>
      <c r="W8">
        <v>114.5</v>
      </c>
      <c r="X8">
        <v>1.5</v>
      </c>
    </row>
    <row r="9" spans="1:24" x14ac:dyDescent="0.3">
      <c r="A9">
        <v>54</v>
      </c>
      <c r="B9" s="1">
        <v>45855</v>
      </c>
      <c r="C9">
        <v>1.1124000000000001</v>
      </c>
      <c r="D9" t="s">
        <v>303</v>
      </c>
      <c r="E9">
        <v>0.53839999999999999</v>
      </c>
      <c r="F9">
        <v>6675</v>
      </c>
      <c r="G9">
        <v>11.78</v>
      </c>
      <c r="H9">
        <v>23.9285</v>
      </c>
      <c r="I9">
        <v>-7.0258000000000003</v>
      </c>
      <c r="J9">
        <v>25725</v>
      </c>
      <c r="K9" s="30">
        <v>313</v>
      </c>
      <c r="L9" s="2">
        <v>25650</v>
      </c>
      <c r="M9">
        <v>248</v>
      </c>
      <c r="N9">
        <v>15375</v>
      </c>
      <c r="O9">
        <v>-6.8631000000000002</v>
      </c>
      <c r="P9">
        <v>23.924700000000001</v>
      </c>
      <c r="Q9">
        <v>11.51</v>
      </c>
      <c r="R9">
        <v>7425</v>
      </c>
      <c r="S9">
        <v>-0.46089999999999998</v>
      </c>
      <c r="T9" t="s">
        <v>304</v>
      </c>
      <c r="U9">
        <v>25715</v>
      </c>
      <c r="V9">
        <v>65</v>
      </c>
      <c r="W9">
        <v>65</v>
      </c>
      <c r="X9">
        <v>1.26</v>
      </c>
    </row>
    <row r="10" spans="1:24" x14ac:dyDescent="0.3">
      <c r="A10">
        <v>55</v>
      </c>
      <c r="B10" s="1">
        <v>45855</v>
      </c>
      <c r="C10">
        <v>0.36919999999999997</v>
      </c>
      <c r="D10" t="s">
        <v>305</v>
      </c>
      <c r="E10">
        <v>0.51029999999999998</v>
      </c>
      <c r="F10">
        <v>41850</v>
      </c>
      <c r="G10">
        <v>11.8</v>
      </c>
      <c r="H10">
        <v>24.032</v>
      </c>
      <c r="I10">
        <v>-7.0721999999999996</v>
      </c>
      <c r="J10">
        <v>120075</v>
      </c>
      <c r="K10" s="30">
        <v>288</v>
      </c>
      <c r="L10" s="2">
        <v>25700</v>
      </c>
      <c r="M10">
        <v>270.55</v>
      </c>
      <c r="N10">
        <v>30075</v>
      </c>
      <c r="O10">
        <v>-6.8503999999999996</v>
      </c>
      <c r="P10">
        <v>24.0321</v>
      </c>
      <c r="Q10">
        <v>11.43</v>
      </c>
      <c r="R10">
        <v>15450</v>
      </c>
      <c r="S10">
        <v>-0.48970000000000002</v>
      </c>
      <c r="T10" t="s">
        <v>306</v>
      </c>
      <c r="U10">
        <v>25715</v>
      </c>
      <c r="V10">
        <v>15</v>
      </c>
      <c r="W10">
        <v>17.449999999999989</v>
      </c>
      <c r="X10">
        <v>1.06</v>
      </c>
    </row>
    <row r="11" spans="1:24" x14ac:dyDescent="0.3">
      <c r="A11">
        <v>56</v>
      </c>
      <c r="B11" s="1">
        <v>45855</v>
      </c>
      <c r="C11">
        <v>0.2747</v>
      </c>
      <c r="D11" t="s">
        <v>307</v>
      </c>
      <c r="E11">
        <v>0.48209999999999997</v>
      </c>
      <c r="F11">
        <v>6825</v>
      </c>
      <c r="G11">
        <v>11.73</v>
      </c>
      <c r="H11">
        <v>24.015999999999998</v>
      </c>
      <c r="I11">
        <v>-7.024</v>
      </c>
      <c r="J11">
        <v>13050</v>
      </c>
      <c r="K11" s="30">
        <v>262</v>
      </c>
      <c r="L11" s="2">
        <v>25750</v>
      </c>
      <c r="M11">
        <v>291.85000000000002</v>
      </c>
      <c r="N11">
        <v>2775</v>
      </c>
      <c r="O11">
        <v>-6.7880000000000003</v>
      </c>
      <c r="P11">
        <v>24.013200000000001</v>
      </c>
      <c r="Q11">
        <v>11.34</v>
      </c>
      <c r="R11">
        <v>1875</v>
      </c>
      <c r="S11">
        <v>-0.51890000000000003</v>
      </c>
      <c r="T11" t="s">
        <v>308</v>
      </c>
      <c r="U11">
        <v>25715</v>
      </c>
      <c r="V11">
        <v>35</v>
      </c>
      <c r="W11">
        <v>-29.850000000000023</v>
      </c>
      <c r="X11">
        <v>0.9</v>
      </c>
    </row>
    <row r="12" spans="1:24" x14ac:dyDescent="0.3">
      <c r="A12">
        <v>57</v>
      </c>
      <c r="B12" s="1">
        <v>45855</v>
      </c>
      <c r="C12">
        <v>3.4099999999999998E-2</v>
      </c>
      <c r="D12" t="s">
        <v>309</v>
      </c>
      <c r="E12">
        <v>0.45319999999999999</v>
      </c>
      <c r="F12">
        <v>63825</v>
      </c>
      <c r="G12">
        <v>11.55</v>
      </c>
      <c r="H12">
        <v>23.874600000000001</v>
      </c>
      <c r="I12">
        <v>-6.8758999999999997</v>
      </c>
      <c r="J12">
        <v>93225</v>
      </c>
      <c r="K12" s="30">
        <v>234.85</v>
      </c>
      <c r="L12" s="2">
        <v>25800</v>
      </c>
      <c r="M12">
        <v>316.2</v>
      </c>
      <c r="N12">
        <v>6600</v>
      </c>
      <c r="O12">
        <v>-6.6588000000000003</v>
      </c>
      <c r="P12">
        <v>23.8613</v>
      </c>
      <c r="Q12">
        <v>11.19</v>
      </c>
      <c r="R12">
        <v>2175</v>
      </c>
      <c r="S12">
        <v>-0.54859999999999998</v>
      </c>
      <c r="T12" t="s">
        <v>310</v>
      </c>
      <c r="U12">
        <v>25715</v>
      </c>
      <c r="V12">
        <v>85</v>
      </c>
      <c r="W12">
        <v>-81.349999999999994</v>
      </c>
      <c r="X12">
        <v>0.74</v>
      </c>
    </row>
    <row r="13" spans="1:24" x14ac:dyDescent="0.3">
      <c r="A13">
        <v>58</v>
      </c>
      <c r="B13" s="1">
        <v>45855</v>
      </c>
      <c r="C13">
        <v>0</v>
      </c>
      <c r="D13" t="s">
        <v>311</v>
      </c>
      <c r="E13">
        <v>0.42249999999999999</v>
      </c>
      <c r="F13">
        <v>3000</v>
      </c>
      <c r="G13">
        <v>11.22</v>
      </c>
      <c r="H13">
        <v>23.5853</v>
      </c>
      <c r="I13">
        <v>-6.5975000000000001</v>
      </c>
      <c r="J13">
        <v>4800</v>
      </c>
      <c r="K13" s="30">
        <v>205.6</v>
      </c>
      <c r="L13" s="2">
        <v>25850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-1</v>
      </c>
      <c r="T13" t="s">
        <v>312</v>
      </c>
      <c r="U13">
        <v>25715</v>
      </c>
      <c r="V13">
        <v>135</v>
      </c>
      <c r="W13">
        <v>205.6</v>
      </c>
      <c r="X13">
        <v>65535</v>
      </c>
    </row>
    <row r="14" spans="1:24" x14ac:dyDescent="0.3">
      <c r="A14">
        <v>59</v>
      </c>
      <c r="B14" s="1">
        <v>45855</v>
      </c>
      <c r="C14">
        <v>0.44240000000000002</v>
      </c>
      <c r="D14" t="s">
        <v>313</v>
      </c>
      <c r="E14">
        <v>0.39689999999999998</v>
      </c>
      <c r="F14">
        <v>41700</v>
      </c>
      <c r="G14">
        <v>11.51</v>
      </c>
      <c r="H14">
        <v>23.232099999999999</v>
      </c>
      <c r="I14">
        <v>-6.6665999999999999</v>
      </c>
      <c r="J14">
        <v>83850</v>
      </c>
      <c r="K14" s="30">
        <v>192.4</v>
      </c>
      <c r="L14" s="2">
        <v>25900</v>
      </c>
      <c r="M14">
        <v>372</v>
      </c>
      <c r="N14">
        <v>24075</v>
      </c>
      <c r="O14">
        <v>-6.3476999999999997</v>
      </c>
      <c r="P14">
        <v>23.148900000000001</v>
      </c>
      <c r="Q14">
        <v>11</v>
      </c>
      <c r="R14">
        <v>18450</v>
      </c>
      <c r="S14">
        <v>-0.60829999999999995</v>
      </c>
      <c r="T14" t="s">
        <v>314</v>
      </c>
      <c r="U14">
        <v>25715</v>
      </c>
      <c r="V14">
        <v>185</v>
      </c>
      <c r="W14">
        <v>-179.6</v>
      </c>
      <c r="X14">
        <v>0.52</v>
      </c>
    </row>
    <row r="15" spans="1:24" x14ac:dyDescent="0.3">
      <c r="A15">
        <v>60</v>
      </c>
      <c r="B15" s="1">
        <v>45855</v>
      </c>
      <c r="D15" t="s">
        <v>315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s="30">
        <v>0</v>
      </c>
      <c r="L15" s="2">
        <v>25950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-1</v>
      </c>
      <c r="T15" t="s">
        <v>316</v>
      </c>
      <c r="U15">
        <v>25715</v>
      </c>
      <c r="V15">
        <v>235</v>
      </c>
      <c r="W15">
        <v>0</v>
      </c>
    </row>
    <row r="16" spans="1:24" x14ac:dyDescent="0.3">
      <c r="A16">
        <v>61</v>
      </c>
      <c r="B16" s="1">
        <v>45855</v>
      </c>
      <c r="C16">
        <v>0.11169999999999999</v>
      </c>
      <c r="D16" t="s">
        <v>317</v>
      </c>
      <c r="E16">
        <v>0.33910000000000001</v>
      </c>
      <c r="F16">
        <v>173925</v>
      </c>
      <c r="G16">
        <v>11.23</v>
      </c>
      <c r="H16">
        <v>22.0563</v>
      </c>
      <c r="I16">
        <v>-6.1760999999999999</v>
      </c>
      <c r="J16">
        <v>268200</v>
      </c>
      <c r="K16" s="30">
        <v>150.30000000000001</v>
      </c>
      <c r="L16" s="2">
        <v>26000</v>
      </c>
      <c r="M16">
        <v>431</v>
      </c>
      <c r="N16">
        <v>44925</v>
      </c>
      <c r="O16">
        <v>-5.8574999999999999</v>
      </c>
      <c r="P16">
        <v>21.869299999999999</v>
      </c>
      <c r="Q16">
        <v>10.74</v>
      </c>
      <c r="R16">
        <v>19425</v>
      </c>
      <c r="S16">
        <v>-0.66820000000000002</v>
      </c>
      <c r="T16" t="s">
        <v>318</v>
      </c>
      <c r="U16">
        <v>25715</v>
      </c>
      <c r="V16">
        <v>285</v>
      </c>
      <c r="W16">
        <v>-280.7</v>
      </c>
      <c r="X16">
        <v>0.35</v>
      </c>
    </row>
    <row r="17" spans="1:24" x14ac:dyDescent="0.3">
      <c r="A17">
        <v>62</v>
      </c>
      <c r="B17" s="1">
        <v>45855</v>
      </c>
      <c r="D17" t="s">
        <v>319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s="30">
        <v>0</v>
      </c>
      <c r="L17" s="2">
        <v>26050</v>
      </c>
      <c r="M17">
        <v>490</v>
      </c>
      <c r="N17">
        <v>450</v>
      </c>
      <c r="O17">
        <v>-6.4108000000000001</v>
      </c>
      <c r="P17">
        <v>21.630800000000001</v>
      </c>
      <c r="Q17">
        <v>11.89</v>
      </c>
      <c r="R17">
        <v>225</v>
      </c>
      <c r="S17">
        <v>-0.67710000000000004</v>
      </c>
      <c r="T17" t="s">
        <v>320</v>
      </c>
      <c r="U17">
        <v>25715</v>
      </c>
      <c r="V17">
        <v>335</v>
      </c>
      <c r="W17">
        <v>-490</v>
      </c>
      <c r="X17">
        <v>0</v>
      </c>
    </row>
    <row r="18" spans="1:24" x14ac:dyDescent="0.3">
      <c r="A18">
        <v>63</v>
      </c>
      <c r="B18" s="1">
        <v>45855</v>
      </c>
      <c r="C18">
        <v>0</v>
      </c>
      <c r="D18" t="s">
        <v>361</v>
      </c>
      <c r="E18">
        <v>0.28510000000000002</v>
      </c>
      <c r="F18">
        <v>29025</v>
      </c>
      <c r="G18">
        <v>11.1</v>
      </c>
      <c r="H18">
        <v>20.4621</v>
      </c>
      <c r="I18">
        <v>-5.6635</v>
      </c>
      <c r="J18">
        <v>55575</v>
      </c>
      <c r="K18" s="30">
        <v>117.25</v>
      </c>
      <c r="L18" s="2">
        <v>26100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-1</v>
      </c>
      <c r="T18" t="s">
        <v>362</v>
      </c>
      <c r="U18">
        <v>25715</v>
      </c>
      <c r="V18">
        <v>385</v>
      </c>
      <c r="W18">
        <v>117.25</v>
      </c>
      <c r="X18">
        <v>65535</v>
      </c>
    </row>
    <row r="19" spans="1:24" x14ac:dyDescent="0.3">
      <c r="A19">
        <v>46</v>
      </c>
      <c r="B19" s="1">
        <v>45841</v>
      </c>
      <c r="C19">
        <v>0.45169999999999999</v>
      </c>
      <c r="D19" t="s">
        <v>144</v>
      </c>
      <c r="E19">
        <v>0.3543</v>
      </c>
      <c r="F19">
        <v>131325</v>
      </c>
      <c r="G19">
        <v>13.58</v>
      </c>
      <c r="H19">
        <v>18.766100000000002</v>
      </c>
      <c r="I19">
        <v>-8.4643999999999995</v>
      </c>
      <c r="J19">
        <v>189150</v>
      </c>
      <c r="K19" s="30">
        <v>161.75</v>
      </c>
      <c r="L19" s="2">
        <v>25100</v>
      </c>
      <c r="M19">
        <v>427</v>
      </c>
      <c r="N19">
        <v>33150</v>
      </c>
      <c r="O19">
        <v>-8.4015000000000004</v>
      </c>
      <c r="P19">
        <v>18.747699999999998</v>
      </c>
      <c r="Q19">
        <v>13.5</v>
      </c>
      <c r="R19">
        <v>59325</v>
      </c>
      <c r="S19">
        <v>-0.64659999999999995</v>
      </c>
      <c r="T19" t="s">
        <v>145</v>
      </c>
      <c r="U19">
        <v>24839.599999999999</v>
      </c>
      <c r="V19">
        <v>260.40000000000146</v>
      </c>
      <c r="W19">
        <v>-265.25</v>
      </c>
      <c r="X19">
        <v>0.38</v>
      </c>
    </row>
    <row r="20" spans="1:24" x14ac:dyDescent="0.3">
      <c r="A20">
        <v>47</v>
      </c>
      <c r="B20" s="1">
        <v>45841</v>
      </c>
      <c r="C20">
        <v>0.2</v>
      </c>
      <c r="D20" t="s">
        <v>146</v>
      </c>
      <c r="E20">
        <v>0.3281</v>
      </c>
      <c r="F20">
        <v>12375</v>
      </c>
      <c r="G20">
        <v>13.61</v>
      </c>
      <c r="H20">
        <v>18.2254</v>
      </c>
      <c r="I20">
        <v>-8.2342999999999993</v>
      </c>
      <c r="J20">
        <v>26325</v>
      </c>
      <c r="K20" s="30">
        <v>145.6</v>
      </c>
      <c r="L20" s="2">
        <v>25150</v>
      </c>
      <c r="M20">
        <v>465.9</v>
      </c>
      <c r="N20">
        <v>4650</v>
      </c>
      <c r="O20">
        <v>-8.3711000000000002</v>
      </c>
      <c r="P20">
        <v>18.277100000000001</v>
      </c>
      <c r="Q20">
        <v>13.79</v>
      </c>
      <c r="R20">
        <v>2475</v>
      </c>
      <c r="S20">
        <v>-0.66949999999999998</v>
      </c>
      <c r="T20" t="s">
        <v>147</v>
      </c>
      <c r="U20">
        <v>24839.599999999999</v>
      </c>
      <c r="V20">
        <v>310.40000000000146</v>
      </c>
      <c r="W20">
        <v>-320.29999999999995</v>
      </c>
      <c r="X20">
        <v>0.31</v>
      </c>
    </row>
    <row r="21" spans="1:24" x14ac:dyDescent="0.3">
      <c r="A21">
        <v>48</v>
      </c>
      <c r="B21" s="1">
        <v>45841</v>
      </c>
      <c r="C21">
        <v>0.1178</v>
      </c>
      <c r="D21" t="s">
        <v>148</v>
      </c>
      <c r="E21">
        <v>0.29959999999999998</v>
      </c>
      <c r="F21">
        <v>255225</v>
      </c>
      <c r="G21">
        <v>13.4</v>
      </c>
      <c r="H21">
        <v>17.528199999999998</v>
      </c>
      <c r="I21">
        <v>-7.7972000000000001</v>
      </c>
      <c r="J21">
        <v>413250</v>
      </c>
      <c r="K21" s="30">
        <v>125.85</v>
      </c>
      <c r="L21" s="2">
        <v>25200</v>
      </c>
      <c r="M21">
        <v>483.25</v>
      </c>
      <c r="N21">
        <v>24300</v>
      </c>
      <c r="O21">
        <v>-7.3516000000000004</v>
      </c>
      <c r="P21">
        <v>17.289400000000001</v>
      </c>
      <c r="Q21">
        <v>12.81</v>
      </c>
      <c r="R21">
        <v>30075</v>
      </c>
      <c r="S21">
        <v>-0.70920000000000005</v>
      </c>
      <c r="T21" t="s">
        <v>149</v>
      </c>
      <c r="U21">
        <v>24839.599999999999</v>
      </c>
      <c r="V21">
        <v>360.40000000000146</v>
      </c>
      <c r="W21">
        <v>-357.4</v>
      </c>
      <c r="X21">
        <v>0.26</v>
      </c>
    </row>
    <row r="22" spans="1:24" x14ac:dyDescent="0.3">
      <c r="A22">
        <v>49</v>
      </c>
      <c r="B22" s="1">
        <v>45841</v>
      </c>
      <c r="C22">
        <v>6.0299999999999999E-2</v>
      </c>
      <c r="D22" t="s">
        <v>150</v>
      </c>
      <c r="E22">
        <v>0.27329999999999999</v>
      </c>
      <c r="F22">
        <v>17400</v>
      </c>
      <c r="G22">
        <v>13.3</v>
      </c>
      <c r="H22">
        <v>16.779199999999999</v>
      </c>
      <c r="I22">
        <v>-7.4088000000000003</v>
      </c>
      <c r="J22">
        <v>66075</v>
      </c>
      <c r="K22" s="30">
        <v>111.1</v>
      </c>
      <c r="L22" s="2">
        <v>25250</v>
      </c>
      <c r="M22">
        <v>510.75</v>
      </c>
      <c r="N22">
        <v>1575</v>
      </c>
      <c r="O22">
        <v>-6.5993000000000004</v>
      </c>
      <c r="P22">
        <v>16.2209</v>
      </c>
      <c r="Q22">
        <v>12.25</v>
      </c>
      <c r="R22">
        <v>1050</v>
      </c>
      <c r="S22">
        <v>-0.74429999999999996</v>
      </c>
      <c r="T22" t="s">
        <v>151</v>
      </c>
      <c r="U22">
        <v>24839.599999999999</v>
      </c>
      <c r="V22">
        <v>410.40000000000146</v>
      </c>
      <c r="W22">
        <v>-399.65</v>
      </c>
      <c r="X22">
        <v>0.22</v>
      </c>
    </row>
    <row r="23" spans="1:24" x14ac:dyDescent="0.3">
      <c r="A23">
        <v>50</v>
      </c>
      <c r="B23" s="1">
        <v>45841</v>
      </c>
      <c r="C23">
        <v>9.9900000000000003E-2</v>
      </c>
      <c r="D23" t="s">
        <v>152</v>
      </c>
      <c r="E23">
        <v>0.24959999999999999</v>
      </c>
      <c r="F23">
        <v>147150</v>
      </c>
      <c r="G23">
        <v>13.31</v>
      </c>
      <c r="H23">
        <v>16.014800000000001</v>
      </c>
      <c r="I23">
        <v>-7.0753000000000004</v>
      </c>
      <c r="J23">
        <v>230475</v>
      </c>
      <c r="K23" s="30">
        <v>98.55</v>
      </c>
      <c r="L23" s="2">
        <v>25300</v>
      </c>
      <c r="M23">
        <v>548</v>
      </c>
      <c r="N23">
        <v>6300</v>
      </c>
      <c r="O23">
        <v>-6.1954000000000002</v>
      </c>
      <c r="P23">
        <v>15.304399999999999</v>
      </c>
      <c r="Q23">
        <v>12.19</v>
      </c>
      <c r="R23">
        <v>14700</v>
      </c>
      <c r="S23">
        <v>-0.77029999999999998</v>
      </c>
      <c r="T23" t="s">
        <v>153</v>
      </c>
      <c r="U23">
        <v>24839.599999999999</v>
      </c>
      <c r="V23">
        <v>460.40000000000146</v>
      </c>
      <c r="W23">
        <v>-449.45</v>
      </c>
      <c r="X23">
        <v>0.18</v>
      </c>
    </row>
    <row r="24" spans="1:24" x14ac:dyDescent="0.3">
      <c r="A24">
        <v>51</v>
      </c>
      <c r="B24" s="1">
        <v>45841</v>
      </c>
      <c r="C24">
        <v>3.61E-2</v>
      </c>
      <c r="D24" t="s">
        <v>168</v>
      </c>
      <c r="E24">
        <v>0.22470000000000001</v>
      </c>
      <c r="F24">
        <v>20775</v>
      </c>
      <c r="G24">
        <v>13.18</v>
      </c>
      <c r="H24">
        <v>15.1157</v>
      </c>
      <c r="I24">
        <v>-6.6130000000000004</v>
      </c>
      <c r="J24">
        <v>33900</v>
      </c>
      <c r="K24" s="30">
        <v>85.1</v>
      </c>
      <c r="L24" s="2">
        <v>25350</v>
      </c>
      <c r="M24">
        <v>492.65</v>
      </c>
      <c r="N24">
        <v>0</v>
      </c>
      <c r="O24">
        <v>0</v>
      </c>
      <c r="P24">
        <v>0</v>
      </c>
      <c r="Q24">
        <v>0</v>
      </c>
      <c r="R24">
        <v>750</v>
      </c>
      <c r="S24">
        <v>-1</v>
      </c>
      <c r="T24" t="s">
        <v>169</v>
      </c>
      <c r="U24">
        <v>24839.599999999999</v>
      </c>
      <c r="V24">
        <v>510.40000000000146</v>
      </c>
      <c r="W24">
        <v>-407.54999999999995</v>
      </c>
      <c r="X24">
        <v>0.17</v>
      </c>
    </row>
    <row r="25" spans="1:24" x14ac:dyDescent="0.3">
      <c r="A25">
        <v>52</v>
      </c>
      <c r="B25" s="1">
        <v>45841</v>
      </c>
      <c r="C25">
        <v>0.1203</v>
      </c>
      <c r="D25" t="s">
        <v>176</v>
      </c>
      <c r="E25">
        <v>0.19989999999999999</v>
      </c>
      <c r="F25">
        <v>243225</v>
      </c>
      <c r="G25">
        <v>13</v>
      </c>
      <c r="H25">
        <v>14.1191</v>
      </c>
      <c r="I25">
        <v>-6.093</v>
      </c>
      <c r="J25">
        <v>272025</v>
      </c>
      <c r="K25" s="30">
        <v>72.25</v>
      </c>
      <c r="L25" s="2">
        <v>25400</v>
      </c>
      <c r="M25">
        <v>680</v>
      </c>
      <c r="N25">
        <v>2475</v>
      </c>
      <c r="O25">
        <v>-8.2638999999999996</v>
      </c>
      <c r="P25">
        <v>15.843400000000001</v>
      </c>
      <c r="Q25">
        <v>15.71</v>
      </c>
      <c r="R25">
        <v>29250</v>
      </c>
      <c r="S25">
        <v>-0.75539999999999996</v>
      </c>
      <c r="T25" t="s">
        <v>177</v>
      </c>
      <c r="U25">
        <v>24839.599999999999</v>
      </c>
      <c r="V25">
        <v>560.40000000000146</v>
      </c>
      <c r="W25">
        <v>-607.75</v>
      </c>
      <c r="X25">
        <v>0.11</v>
      </c>
    </row>
    <row r="26" spans="1:24" x14ac:dyDescent="0.3">
      <c r="A26">
        <v>53</v>
      </c>
      <c r="B26" s="1">
        <v>45841</v>
      </c>
      <c r="C26">
        <v>2.5600000000000001E-2</v>
      </c>
      <c r="D26" t="s">
        <v>183</v>
      </c>
      <c r="E26">
        <v>0.1802</v>
      </c>
      <c r="F26">
        <v>23475</v>
      </c>
      <c r="G26">
        <v>13.02</v>
      </c>
      <c r="H26">
        <v>13.2464</v>
      </c>
      <c r="I26">
        <v>-5.7281000000000004</v>
      </c>
      <c r="J26">
        <v>49200</v>
      </c>
      <c r="K26" s="30">
        <v>63.45</v>
      </c>
      <c r="L26" s="2">
        <v>25450</v>
      </c>
      <c r="M26">
        <v>643.75</v>
      </c>
      <c r="N26">
        <v>0</v>
      </c>
      <c r="O26">
        <v>-3.1522999999999999</v>
      </c>
      <c r="P26">
        <v>9.6239000000000008</v>
      </c>
      <c r="Q26">
        <v>9.86</v>
      </c>
      <c r="R26">
        <v>600</v>
      </c>
      <c r="S26">
        <v>-0.88770000000000004</v>
      </c>
      <c r="T26" t="s">
        <v>184</v>
      </c>
      <c r="U26">
        <v>24839.599999999999</v>
      </c>
      <c r="V26">
        <v>610.40000000000146</v>
      </c>
      <c r="W26">
        <v>-580.29999999999995</v>
      </c>
      <c r="X26">
        <v>0.1</v>
      </c>
    </row>
    <row r="27" spans="1:24" x14ac:dyDescent="0.3">
      <c r="A27">
        <v>112</v>
      </c>
      <c r="B27" s="1">
        <v>45834</v>
      </c>
      <c r="C27">
        <v>3.7499999999999999E-2</v>
      </c>
      <c r="D27" t="s">
        <v>92</v>
      </c>
      <c r="E27">
        <v>0.21510000000000001</v>
      </c>
      <c r="F27">
        <v>1174650</v>
      </c>
      <c r="G27">
        <v>12.34</v>
      </c>
      <c r="H27">
        <v>15.0504</v>
      </c>
      <c r="I27">
        <v>-6.1372999999999998</v>
      </c>
      <c r="J27">
        <v>1371600</v>
      </c>
      <c r="K27" s="30">
        <v>77</v>
      </c>
      <c r="L27" s="2">
        <v>25800</v>
      </c>
      <c r="M27">
        <v>590.54999999999995</v>
      </c>
      <c r="N27">
        <v>44250</v>
      </c>
      <c r="O27">
        <v>-6.0873999999999997</v>
      </c>
      <c r="P27">
        <v>15.0023</v>
      </c>
      <c r="Q27">
        <v>12.28</v>
      </c>
      <c r="R27">
        <v>44100</v>
      </c>
      <c r="S27">
        <v>-0.78610000000000002</v>
      </c>
      <c r="T27" t="s">
        <v>93</v>
      </c>
      <c r="U27">
        <v>25285.1</v>
      </c>
      <c r="V27">
        <v>514.90000000000146</v>
      </c>
      <c r="W27">
        <v>-513.54999999999995</v>
      </c>
      <c r="X27">
        <v>0.13</v>
      </c>
    </row>
    <row r="28" spans="1:24" x14ac:dyDescent="0.3">
      <c r="A28">
        <v>113</v>
      </c>
      <c r="B28" s="1">
        <v>45834</v>
      </c>
      <c r="C28">
        <v>2.8400000000000002E-2</v>
      </c>
      <c r="D28" t="s">
        <v>102</v>
      </c>
      <c r="E28">
        <v>0.19159999999999999</v>
      </c>
      <c r="F28">
        <v>89925</v>
      </c>
      <c r="G28">
        <v>12.26</v>
      </c>
      <c r="H28">
        <v>14.0467</v>
      </c>
      <c r="I28">
        <v>-5.6890999999999998</v>
      </c>
      <c r="J28">
        <v>150825</v>
      </c>
      <c r="K28" s="30">
        <v>66</v>
      </c>
      <c r="L28" s="2">
        <v>25850</v>
      </c>
      <c r="M28">
        <v>715.5</v>
      </c>
      <c r="N28">
        <v>75</v>
      </c>
      <c r="O28">
        <v>-10.0055</v>
      </c>
      <c r="P28">
        <v>17.1861</v>
      </c>
      <c r="Q28">
        <v>17.62</v>
      </c>
      <c r="R28">
        <v>2550</v>
      </c>
      <c r="S28">
        <v>-0.7248</v>
      </c>
      <c r="T28" t="s">
        <v>103</v>
      </c>
      <c r="U28">
        <v>25285.1</v>
      </c>
      <c r="V28">
        <v>564.90000000000146</v>
      </c>
      <c r="W28">
        <v>-649.5</v>
      </c>
      <c r="X28">
        <v>0.09</v>
      </c>
    </row>
    <row r="29" spans="1:24" x14ac:dyDescent="0.3">
      <c r="A29">
        <v>114</v>
      </c>
      <c r="B29" s="1">
        <v>45834</v>
      </c>
      <c r="C29">
        <v>7.8399999999999997E-2</v>
      </c>
      <c r="D29" t="s">
        <v>110</v>
      </c>
      <c r="E29">
        <v>0.17219999999999999</v>
      </c>
      <c r="F29">
        <v>423900</v>
      </c>
      <c r="G29">
        <v>12.31</v>
      </c>
      <c r="H29">
        <v>13.135899999999999</v>
      </c>
      <c r="I29">
        <v>-5.34</v>
      </c>
      <c r="J29">
        <v>722700</v>
      </c>
      <c r="K29" s="30">
        <v>57.8</v>
      </c>
      <c r="L29" s="2">
        <v>25900</v>
      </c>
      <c r="M29">
        <v>672.9</v>
      </c>
      <c r="N29">
        <v>26100</v>
      </c>
      <c r="O29">
        <v>-5.3780999999999999</v>
      </c>
      <c r="P29">
        <v>13.1806</v>
      </c>
      <c r="Q29">
        <v>12.35</v>
      </c>
      <c r="R29">
        <v>33225</v>
      </c>
      <c r="S29">
        <v>-0.82689999999999997</v>
      </c>
      <c r="T29" t="s">
        <v>111</v>
      </c>
      <c r="U29">
        <v>25285.1</v>
      </c>
      <c r="V29">
        <v>614.90000000000146</v>
      </c>
      <c r="W29">
        <v>-615.1</v>
      </c>
      <c r="X29">
        <v>0.09</v>
      </c>
    </row>
    <row r="30" spans="1:24" x14ac:dyDescent="0.3">
      <c r="A30">
        <v>115</v>
      </c>
      <c r="B30" s="1">
        <v>45834</v>
      </c>
      <c r="C30">
        <v>1.3599999999999999E-2</v>
      </c>
      <c r="D30" t="s">
        <v>130</v>
      </c>
      <c r="E30">
        <v>0.15260000000000001</v>
      </c>
      <c r="F30">
        <v>116100</v>
      </c>
      <c r="G30">
        <v>12.28</v>
      </c>
      <c r="H30">
        <v>12.145300000000001</v>
      </c>
      <c r="I30">
        <v>-4.9250999999999996</v>
      </c>
      <c r="J30">
        <v>138300</v>
      </c>
      <c r="K30" s="30">
        <v>49.45</v>
      </c>
      <c r="L30" s="2">
        <v>25950</v>
      </c>
      <c r="M30">
        <v>725.85</v>
      </c>
      <c r="N30">
        <v>450</v>
      </c>
      <c r="O30">
        <v>-5.7009999999999996</v>
      </c>
      <c r="P30">
        <v>13.0678</v>
      </c>
      <c r="Q30">
        <v>13.21</v>
      </c>
      <c r="R30">
        <v>1575</v>
      </c>
      <c r="S30">
        <v>-0.82920000000000005</v>
      </c>
      <c r="T30" t="s">
        <v>131</v>
      </c>
      <c r="U30">
        <v>25285.1</v>
      </c>
      <c r="V30">
        <v>664.90000000000146</v>
      </c>
      <c r="W30">
        <v>-676.4</v>
      </c>
      <c r="X30">
        <v>7.0000000000000007E-2</v>
      </c>
    </row>
    <row r="31" spans="1:24" x14ac:dyDescent="0.3">
      <c r="A31">
        <v>116</v>
      </c>
      <c r="B31" s="1">
        <v>45834</v>
      </c>
      <c r="C31">
        <v>0.251</v>
      </c>
      <c r="D31" t="s">
        <v>132</v>
      </c>
      <c r="E31">
        <v>0.1356</v>
      </c>
      <c r="F31">
        <v>5819150</v>
      </c>
      <c r="G31">
        <v>12.3</v>
      </c>
      <c r="H31">
        <v>11.215999999999999</v>
      </c>
      <c r="I31">
        <v>-4.5567000000000002</v>
      </c>
      <c r="J31">
        <v>3418800</v>
      </c>
      <c r="K31" s="30">
        <v>43</v>
      </c>
      <c r="L31" s="2">
        <v>26000</v>
      </c>
      <c r="M31">
        <v>756.15</v>
      </c>
      <c r="N31">
        <v>177450</v>
      </c>
      <c r="O31">
        <v>-4.4555999999999996</v>
      </c>
      <c r="P31">
        <v>11.077</v>
      </c>
      <c r="Q31">
        <v>12.18</v>
      </c>
      <c r="R31">
        <v>1460450</v>
      </c>
      <c r="S31">
        <v>-0.86680000000000001</v>
      </c>
      <c r="T31" t="s">
        <v>133</v>
      </c>
      <c r="U31">
        <v>25285.1</v>
      </c>
      <c r="V31">
        <v>714.90000000000146</v>
      </c>
      <c r="W31">
        <v>-713.15</v>
      </c>
      <c r="X31">
        <v>0.06</v>
      </c>
    </row>
    <row r="32" spans="1:24" x14ac:dyDescent="0.3">
      <c r="A32">
        <v>117</v>
      </c>
      <c r="B32" s="1">
        <v>45834</v>
      </c>
      <c r="C32">
        <v>1.37E-2</v>
      </c>
      <c r="D32" t="s">
        <v>134</v>
      </c>
      <c r="E32">
        <v>0.1186</v>
      </c>
      <c r="F32">
        <v>115275</v>
      </c>
      <c r="G32">
        <v>12.25</v>
      </c>
      <c r="H32">
        <v>10.214700000000001</v>
      </c>
      <c r="I32">
        <v>-4.1318999999999999</v>
      </c>
      <c r="J32">
        <v>129825</v>
      </c>
      <c r="K32" s="30">
        <v>36.299999999999997</v>
      </c>
      <c r="L32" s="2">
        <v>26050</v>
      </c>
      <c r="M32">
        <v>924.1</v>
      </c>
      <c r="N32">
        <v>0</v>
      </c>
      <c r="O32">
        <v>-11.5479</v>
      </c>
      <c r="P32">
        <v>16.467199999999998</v>
      </c>
      <c r="Q32">
        <v>21.23</v>
      </c>
      <c r="R32">
        <v>1575</v>
      </c>
      <c r="S32">
        <v>-0.747</v>
      </c>
      <c r="T32" t="s">
        <v>135</v>
      </c>
      <c r="U32">
        <v>25285.1</v>
      </c>
      <c r="V32">
        <v>764.90000000000146</v>
      </c>
      <c r="W32">
        <v>-887.80000000000007</v>
      </c>
      <c r="X32">
        <v>0.04</v>
      </c>
    </row>
    <row r="33" spans="2:2" x14ac:dyDescent="0.3">
      <c r="B33" s="1"/>
    </row>
    <row r="34" spans="2:2" x14ac:dyDescent="0.3">
      <c r="B34" s="1"/>
    </row>
    <row r="35" spans="2:2" x14ac:dyDescent="0.3">
      <c r="B35" s="1"/>
    </row>
    <row r="36" spans="2:2" x14ac:dyDescent="0.3">
      <c r="B36" s="1"/>
    </row>
    <row r="37" spans="2:2" x14ac:dyDescent="0.3">
      <c r="B37" s="1"/>
    </row>
    <row r="38" spans="2:2" x14ac:dyDescent="0.3">
      <c r="B38" s="1"/>
    </row>
    <row r="39" spans="2:2" x14ac:dyDescent="0.3">
      <c r="B39" s="1"/>
    </row>
    <row r="40" spans="2:2" x14ac:dyDescent="0.3">
      <c r="B40" s="1"/>
    </row>
    <row r="41" spans="2:2" x14ac:dyDescent="0.3">
      <c r="B41" s="1"/>
    </row>
    <row r="42" spans="2:2" x14ac:dyDescent="0.3">
      <c r="B42" s="1"/>
    </row>
    <row r="43" spans="2:2" x14ac:dyDescent="0.3">
      <c r="B43" s="1"/>
    </row>
    <row r="44" spans="2:2" x14ac:dyDescent="0.3">
      <c r="B44" s="1"/>
    </row>
    <row r="45" spans="2:2" x14ac:dyDescent="0.3">
      <c r="B45" s="1"/>
    </row>
    <row r="46" spans="2:2" x14ac:dyDescent="0.3">
      <c r="B46" s="1"/>
    </row>
    <row r="47" spans="2:2" x14ac:dyDescent="0.3">
      <c r="B47" s="1"/>
    </row>
    <row r="48" spans="2:2" x14ac:dyDescent="0.3">
      <c r="B48" s="1"/>
    </row>
    <row r="49" spans="2:2" x14ac:dyDescent="0.3">
      <c r="B49" s="1"/>
    </row>
    <row r="50" spans="2:2" x14ac:dyDescent="0.3">
      <c r="B50" s="1"/>
    </row>
    <row r="51" spans="2:2" x14ac:dyDescent="0.3">
      <c r="B51" s="1"/>
    </row>
    <row r="52" spans="2:2" x14ac:dyDescent="0.3">
      <c r="B52" s="1"/>
    </row>
    <row r="53" spans="2:2" x14ac:dyDescent="0.3">
      <c r="B53" s="1"/>
    </row>
    <row r="54" spans="2:2" x14ac:dyDescent="0.3">
      <c r="B54" s="1"/>
    </row>
    <row r="55" spans="2:2" x14ac:dyDescent="0.3">
      <c r="B55" s="1"/>
    </row>
    <row r="56" spans="2:2" x14ac:dyDescent="0.3">
      <c r="B56" s="1"/>
    </row>
    <row r="57" spans="2:2" x14ac:dyDescent="0.3">
      <c r="B57" s="1"/>
    </row>
    <row r="58" spans="2:2" x14ac:dyDescent="0.3">
      <c r="B58" s="1"/>
    </row>
    <row r="59" spans="2:2" x14ac:dyDescent="0.3">
      <c r="B59" s="1"/>
    </row>
    <row r="60" spans="2:2" x14ac:dyDescent="0.3">
      <c r="B60" s="1"/>
    </row>
    <row r="61" spans="2:2" x14ac:dyDescent="0.3">
      <c r="B61" s="1"/>
    </row>
    <row r="62" spans="2:2" x14ac:dyDescent="0.3">
      <c r="B62" s="1"/>
    </row>
  </sheetData>
  <conditionalFormatting sqref="A2:X62">
    <cfRule type="expression" dxfId="2" priority="1">
      <formula>$V2=MIN($V$2:$V$100)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32"/>
  <sheetViews>
    <sheetView topLeftCell="A2" workbookViewId="0">
      <selection activeCell="F11" sqref="F11"/>
    </sheetView>
  </sheetViews>
  <sheetFormatPr defaultRowHeight="14.4" x14ac:dyDescent="0.3"/>
  <cols>
    <col min="2" max="2" width="10.33203125" bestFit="1" customWidth="1"/>
    <col min="11" max="11" width="8.88671875" style="30"/>
    <col min="12" max="12" width="8.88671875" style="2"/>
  </cols>
  <sheetData>
    <row r="1" spans="1:24" x14ac:dyDescent="0.3"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52</v>
      </c>
      <c r="K1" s="30" t="s">
        <v>10</v>
      </c>
      <c r="L1" s="2" t="s">
        <v>11</v>
      </c>
      <c r="M1" t="s">
        <v>12</v>
      </c>
      <c r="N1" t="s">
        <v>53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</row>
    <row r="2" spans="1:24" x14ac:dyDescent="0.3">
      <c r="A2">
        <v>88</v>
      </c>
      <c r="B2" s="1">
        <v>45869</v>
      </c>
      <c r="C2">
        <v>1.8608</v>
      </c>
      <c r="D2" t="s">
        <v>321</v>
      </c>
      <c r="E2">
        <v>0.64759999999999995</v>
      </c>
      <c r="F2">
        <v>70140</v>
      </c>
      <c r="G2">
        <v>12.77</v>
      </c>
      <c r="H2">
        <v>65.329400000000007</v>
      </c>
      <c r="I2">
        <v>-12.2462</v>
      </c>
      <c r="J2">
        <v>103775</v>
      </c>
      <c r="K2" s="30">
        <v>1347.45</v>
      </c>
      <c r="L2" s="2">
        <v>56800</v>
      </c>
      <c r="M2">
        <v>562.1</v>
      </c>
      <c r="N2">
        <v>397110</v>
      </c>
      <c r="O2">
        <v>-12.5154</v>
      </c>
      <c r="P2">
        <v>65.489000000000004</v>
      </c>
      <c r="Q2">
        <v>13.02</v>
      </c>
      <c r="R2">
        <v>130515</v>
      </c>
      <c r="S2">
        <v>-0.3548</v>
      </c>
      <c r="T2" t="s">
        <v>322</v>
      </c>
      <c r="U2">
        <v>57589.599999999999</v>
      </c>
      <c r="V2">
        <v>789.59999999999854</v>
      </c>
      <c r="W2">
        <v>785.35</v>
      </c>
      <c r="X2">
        <v>2.4</v>
      </c>
    </row>
    <row r="3" spans="1:24" x14ac:dyDescent="0.3">
      <c r="A3">
        <v>89</v>
      </c>
      <c r="B3" s="1">
        <v>45869</v>
      </c>
      <c r="C3">
        <v>1.8150999999999999</v>
      </c>
      <c r="D3" t="s">
        <v>323</v>
      </c>
      <c r="E3">
        <v>0.63139999999999996</v>
      </c>
      <c r="F3">
        <v>50925</v>
      </c>
      <c r="G3">
        <v>12.69</v>
      </c>
      <c r="H3">
        <v>66.350099999999998</v>
      </c>
      <c r="I3">
        <v>-12.366</v>
      </c>
      <c r="J3">
        <v>121835</v>
      </c>
      <c r="K3" s="30">
        <v>1280.0999999999999</v>
      </c>
      <c r="L3" s="2">
        <v>56900</v>
      </c>
      <c r="M3">
        <v>597</v>
      </c>
      <c r="N3">
        <v>333095</v>
      </c>
      <c r="O3">
        <v>-12.664</v>
      </c>
      <c r="P3">
        <v>66.490399999999994</v>
      </c>
      <c r="Q3">
        <v>12.97</v>
      </c>
      <c r="R3">
        <v>92435</v>
      </c>
      <c r="S3">
        <v>-0.371</v>
      </c>
      <c r="T3" t="s">
        <v>324</v>
      </c>
      <c r="U3">
        <v>57589.599999999999</v>
      </c>
      <c r="V3">
        <v>689.59999999999854</v>
      </c>
      <c r="W3">
        <v>683.09999999999991</v>
      </c>
      <c r="X3">
        <v>2.14</v>
      </c>
    </row>
    <row r="4" spans="1:24" x14ac:dyDescent="0.3">
      <c r="A4">
        <v>90</v>
      </c>
      <c r="B4" s="1">
        <v>45869</v>
      </c>
      <c r="C4">
        <v>1.4249000000000001</v>
      </c>
      <c r="D4" t="s">
        <v>325</v>
      </c>
      <c r="E4">
        <v>0.61360000000000003</v>
      </c>
      <c r="F4">
        <v>805105</v>
      </c>
      <c r="G4">
        <v>12.76</v>
      </c>
      <c r="H4">
        <v>67.323800000000006</v>
      </c>
      <c r="I4">
        <v>-12.6172</v>
      </c>
      <c r="J4">
        <v>1817515</v>
      </c>
      <c r="K4" s="30">
        <v>1215</v>
      </c>
      <c r="L4" s="2">
        <v>57000</v>
      </c>
      <c r="M4">
        <v>635</v>
      </c>
      <c r="N4">
        <v>2647155</v>
      </c>
      <c r="O4">
        <v>-12.770799999999999</v>
      </c>
      <c r="P4">
        <v>67.378100000000003</v>
      </c>
      <c r="Q4">
        <v>12.91</v>
      </c>
      <c r="R4">
        <v>1147195</v>
      </c>
      <c r="S4">
        <v>-0.38740000000000002</v>
      </c>
      <c r="T4" t="s">
        <v>326</v>
      </c>
      <c r="U4">
        <v>57589.599999999999</v>
      </c>
      <c r="V4">
        <v>589.59999999999854</v>
      </c>
      <c r="W4">
        <v>580</v>
      </c>
      <c r="X4">
        <v>1.91</v>
      </c>
    </row>
    <row r="5" spans="1:24" x14ac:dyDescent="0.3">
      <c r="A5">
        <v>91</v>
      </c>
      <c r="B5" s="1">
        <v>45869</v>
      </c>
      <c r="C5">
        <v>2.2208000000000001</v>
      </c>
      <c r="D5" t="s">
        <v>327</v>
      </c>
      <c r="E5">
        <v>0.59660000000000002</v>
      </c>
      <c r="F5">
        <v>73220</v>
      </c>
      <c r="G5">
        <v>12.72</v>
      </c>
      <c r="H5">
        <v>68.122500000000002</v>
      </c>
      <c r="I5">
        <v>-12.7211</v>
      </c>
      <c r="J5">
        <v>958825</v>
      </c>
      <c r="K5" s="30">
        <v>1161.95</v>
      </c>
      <c r="L5" s="2">
        <v>57100</v>
      </c>
      <c r="M5">
        <v>671.1</v>
      </c>
      <c r="N5">
        <v>1159760</v>
      </c>
      <c r="O5">
        <v>-12.8864</v>
      </c>
      <c r="P5">
        <v>68.164100000000005</v>
      </c>
      <c r="Q5">
        <v>12.88</v>
      </c>
      <c r="R5">
        <v>162610</v>
      </c>
      <c r="S5">
        <v>-0.40439999999999998</v>
      </c>
      <c r="T5" t="s">
        <v>328</v>
      </c>
      <c r="U5">
        <v>57589.599999999999</v>
      </c>
      <c r="V5">
        <v>489.59999999999854</v>
      </c>
      <c r="W5">
        <v>490.85</v>
      </c>
      <c r="X5">
        <v>1.73</v>
      </c>
    </row>
    <row r="6" spans="1:24" x14ac:dyDescent="0.3">
      <c r="A6">
        <v>92</v>
      </c>
      <c r="B6" s="1">
        <v>45869</v>
      </c>
      <c r="C6">
        <v>1.3524</v>
      </c>
      <c r="D6" t="s">
        <v>329</v>
      </c>
      <c r="E6">
        <v>0.57930000000000004</v>
      </c>
      <c r="F6">
        <v>223860</v>
      </c>
      <c r="G6">
        <v>12.68</v>
      </c>
      <c r="H6">
        <v>68.799899999999994</v>
      </c>
      <c r="I6">
        <v>-12.805199999999999</v>
      </c>
      <c r="J6">
        <v>2137555</v>
      </c>
      <c r="K6" s="30">
        <v>1099.7</v>
      </c>
      <c r="L6" s="2">
        <v>57200</v>
      </c>
      <c r="M6">
        <v>712</v>
      </c>
      <c r="N6">
        <v>1655080</v>
      </c>
      <c r="O6">
        <v>-12.968299999999999</v>
      </c>
      <c r="P6">
        <v>68.826800000000006</v>
      </c>
      <c r="Q6">
        <v>12.83</v>
      </c>
      <c r="R6">
        <v>302750</v>
      </c>
      <c r="S6">
        <v>-0.42149999999999999</v>
      </c>
      <c r="T6" t="s">
        <v>330</v>
      </c>
      <c r="U6">
        <v>57589.599999999999</v>
      </c>
      <c r="V6">
        <v>389.59999999999854</v>
      </c>
      <c r="W6">
        <v>387.70000000000005</v>
      </c>
      <c r="X6">
        <v>1.54</v>
      </c>
    </row>
    <row r="7" spans="1:24" x14ac:dyDescent="0.3">
      <c r="A7">
        <v>93</v>
      </c>
      <c r="B7" s="1">
        <v>45869</v>
      </c>
      <c r="C7">
        <v>1.8287</v>
      </c>
      <c r="D7" t="s">
        <v>331</v>
      </c>
      <c r="E7">
        <v>0.56159999999999999</v>
      </c>
      <c r="F7">
        <v>116235</v>
      </c>
      <c r="G7">
        <v>12.68</v>
      </c>
      <c r="H7">
        <v>69.353300000000004</v>
      </c>
      <c r="I7">
        <v>-12.9101</v>
      </c>
      <c r="J7">
        <v>1382815</v>
      </c>
      <c r="K7" s="30">
        <v>1045</v>
      </c>
      <c r="L7" s="2">
        <v>57300</v>
      </c>
      <c r="M7">
        <v>754</v>
      </c>
      <c r="N7">
        <v>1236060</v>
      </c>
      <c r="O7">
        <v>-13.054500000000001</v>
      </c>
      <c r="P7">
        <v>69.366699999999994</v>
      </c>
      <c r="Q7">
        <v>12.82</v>
      </c>
      <c r="R7">
        <v>212555</v>
      </c>
      <c r="S7">
        <v>-0.43890000000000001</v>
      </c>
      <c r="T7" t="s">
        <v>332</v>
      </c>
      <c r="U7">
        <v>57589.599999999999</v>
      </c>
      <c r="V7">
        <v>289.59999999999854</v>
      </c>
      <c r="W7">
        <v>291</v>
      </c>
      <c r="X7">
        <v>1.39</v>
      </c>
    </row>
    <row r="8" spans="1:24" x14ac:dyDescent="0.3">
      <c r="A8">
        <v>94</v>
      </c>
      <c r="B8" s="1">
        <v>45869</v>
      </c>
      <c r="C8">
        <v>1.1662999999999999</v>
      </c>
      <c r="D8" t="s">
        <v>333</v>
      </c>
      <c r="E8">
        <v>0.54390000000000005</v>
      </c>
      <c r="F8">
        <v>143535</v>
      </c>
      <c r="G8">
        <v>12.61</v>
      </c>
      <c r="H8">
        <v>69.765000000000001</v>
      </c>
      <c r="I8">
        <v>-12.917400000000001</v>
      </c>
      <c r="J8">
        <v>1152375</v>
      </c>
      <c r="K8" s="30">
        <v>987</v>
      </c>
      <c r="L8" s="2">
        <v>57400</v>
      </c>
      <c r="M8">
        <v>797.4</v>
      </c>
      <c r="N8">
        <v>849170</v>
      </c>
      <c r="O8">
        <v>-13.0799</v>
      </c>
      <c r="P8">
        <v>69.771799999999999</v>
      </c>
      <c r="Q8">
        <v>12.77</v>
      </c>
      <c r="R8">
        <v>167405</v>
      </c>
      <c r="S8">
        <v>-0.45639999999999997</v>
      </c>
      <c r="T8" t="s">
        <v>334</v>
      </c>
      <c r="U8">
        <v>57589.599999999999</v>
      </c>
      <c r="V8">
        <v>189.59999999999854</v>
      </c>
      <c r="W8">
        <v>189.60000000000002</v>
      </c>
      <c r="X8">
        <v>1.24</v>
      </c>
    </row>
    <row r="9" spans="1:24" x14ac:dyDescent="0.3">
      <c r="A9">
        <v>95</v>
      </c>
      <c r="B9" s="1">
        <v>45869</v>
      </c>
      <c r="C9">
        <v>0.67100000000000004</v>
      </c>
      <c r="D9" t="s">
        <v>335</v>
      </c>
      <c r="E9">
        <v>0.52600000000000002</v>
      </c>
      <c r="F9">
        <v>471065</v>
      </c>
      <c r="G9">
        <v>12.6</v>
      </c>
      <c r="H9">
        <v>70.041899999999998</v>
      </c>
      <c r="I9">
        <v>-12.959899999999999</v>
      </c>
      <c r="J9">
        <v>2125935</v>
      </c>
      <c r="K9" s="30">
        <v>932.7</v>
      </c>
      <c r="L9" s="2">
        <v>57500</v>
      </c>
      <c r="M9">
        <v>842.75</v>
      </c>
      <c r="N9">
        <v>1177050</v>
      </c>
      <c r="O9">
        <v>-13.0778</v>
      </c>
      <c r="P9">
        <v>70.043000000000006</v>
      </c>
      <c r="Q9">
        <v>12.72</v>
      </c>
      <c r="R9">
        <v>316085</v>
      </c>
      <c r="S9">
        <v>-0.47410000000000002</v>
      </c>
      <c r="T9" t="s">
        <v>336</v>
      </c>
      <c r="U9">
        <v>57589.599999999999</v>
      </c>
      <c r="V9">
        <v>89.599999999998545</v>
      </c>
      <c r="W9">
        <v>89.950000000000045</v>
      </c>
      <c r="X9">
        <v>1.1100000000000001</v>
      </c>
    </row>
    <row r="10" spans="1:24" x14ac:dyDescent="0.3">
      <c r="A10">
        <v>96</v>
      </c>
      <c r="B10" s="1">
        <v>45869</v>
      </c>
      <c r="C10">
        <v>0.61499999999999999</v>
      </c>
      <c r="D10" t="s">
        <v>337</v>
      </c>
      <c r="E10">
        <v>0.50790000000000002</v>
      </c>
      <c r="F10">
        <v>78995</v>
      </c>
      <c r="G10">
        <v>12.57</v>
      </c>
      <c r="H10">
        <v>70.176599999999993</v>
      </c>
      <c r="I10">
        <v>-12.9544</v>
      </c>
      <c r="J10">
        <v>469665</v>
      </c>
      <c r="K10" s="30">
        <v>880</v>
      </c>
      <c r="L10" s="2">
        <v>57600</v>
      </c>
      <c r="M10">
        <v>890.75</v>
      </c>
      <c r="N10">
        <v>200445</v>
      </c>
      <c r="O10">
        <v>-13.083</v>
      </c>
      <c r="P10">
        <v>70.176400000000001</v>
      </c>
      <c r="Q10">
        <v>12.7</v>
      </c>
      <c r="R10">
        <v>48580</v>
      </c>
      <c r="S10">
        <v>-0.49199999999999999</v>
      </c>
      <c r="T10" t="s">
        <v>338</v>
      </c>
      <c r="U10">
        <v>57589.599999999999</v>
      </c>
      <c r="V10">
        <v>10.400000000001455</v>
      </c>
      <c r="W10">
        <v>-10.75</v>
      </c>
      <c r="X10">
        <v>0.99</v>
      </c>
    </row>
    <row r="11" spans="1:24" x14ac:dyDescent="0.3">
      <c r="A11">
        <v>97</v>
      </c>
      <c r="B11" s="1">
        <v>45869</v>
      </c>
      <c r="C11">
        <v>0.50470000000000004</v>
      </c>
      <c r="D11" t="s">
        <v>339</v>
      </c>
      <c r="E11">
        <v>0.48970000000000002</v>
      </c>
      <c r="F11">
        <v>51800</v>
      </c>
      <c r="G11">
        <v>12.48</v>
      </c>
      <c r="H11">
        <v>70.167299999999997</v>
      </c>
      <c r="I11">
        <v>-12.853400000000001</v>
      </c>
      <c r="J11">
        <v>325465</v>
      </c>
      <c r="K11" s="30">
        <v>831.9</v>
      </c>
      <c r="L11" s="2">
        <v>57700</v>
      </c>
      <c r="M11">
        <v>941.15</v>
      </c>
      <c r="N11">
        <v>112735</v>
      </c>
      <c r="O11">
        <v>-13.069900000000001</v>
      </c>
      <c r="P11">
        <v>70.169200000000004</v>
      </c>
      <c r="Q11">
        <v>12.69</v>
      </c>
      <c r="R11">
        <v>26145</v>
      </c>
      <c r="S11">
        <v>-0.50980000000000003</v>
      </c>
      <c r="T11" t="s">
        <v>340</v>
      </c>
      <c r="U11">
        <v>57589.599999999999</v>
      </c>
      <c r="V11">
        <v>110.40000000000146</v>
      </c>
      <c r="W11">
        <v>-109.25</v>
      </c>
      <c r="X11">
        <v>0.88</v>
      </c>
    </row>
    <row r="12" spans="1:24" x14ac:dyDescent="0.3">
      <c r="A12">
        <v>98</v>
      </c>
      <c r="B12" s="1">
        <v>45869</v>
      </c>
      <c r="C12">
        <v>0.27610000000000001</v>
      </c>
      <c r="D12" t="s">
        <v>341</v>
      </c>
      <c r="E12">
        <v>0.4718</v>
      </c>
      <c r="F12">
        <v>46515</v>
      </c>
      <c r="G12">
        <v>12.52</v>
      </c>
      <c r="H12">
        <v>70.014899999999997</v>
      </c>
      <c r="I12">
        <v>-12.8706</v>
      </c>
      <c r="J12">
        <v>320565</v>
      </c>
      <c r="K12" s="30">
        <v>784.55</v>
      </c>
      <c r="L12" s="2">
        <v>57800</v>
      </c>
      <c r="M12">
        <v>986</v>
      </c>
      <c r="N12">
        <v>74760</v>
      </c>
      <c r="O12">
        <v>-12.914999999999999</v>
      </c>
      <c r="P12">
        <v>70.0167</v>
      </c>
      <c r="Q12">
        <v>12.56</v>
      </c>
      <c r="R12">
        <v>12845</v>
      </c>
      <c r="S12">
        <v>-0.52810000000000001</v>
      </c>
      <c r="T12" t="s">
        <v>342</v>
      </c>
      <c r="U12">
        <v>57589.599999999999</v>
      </c>
      <c r="V12">
        <v>210.40000000000146</v>
      </c>
      <c r="W12">
        <v>-201.45000000000005</v>
      </c>
      <c r="X12">
        <v>0.8</v>
      </c>
    </row>
    <row r="13" spans="1:24" x14ac:dyDescent="0.3">
      <c r="A13">
        <v>99</v>
      </c>
      <c r="B13" s="1">
        <v>45869</v>
      </c>
      <c r="C13">
        <v>0.23280000000000001</v>
      </c>
      <c r="D13" t="s">
        <v>343</v>
      </c>
      <c r="E13">
        <v>0.45369999999999999</v>
      </c>
      <c r="F13">
        <v>39235</v>
      </c>
      <c r="G13">
        <v>12.49</v>
      </c>
      <c r="H13">
        <v>69.716700000000003</v>
      </c>
      <c r="I13">
        <v>-12.7826</v>
      </c>
      <c r="J13">
        <v>312095</v>
      </c>
      <c r="K13" s="30">
        <v>737.55</v>
      </c>
      <c r="L13" s="2">
        <v>57900</v>
      </c>
      <c r="M13">
        <v>1036.0999999999999</v>
      </c>
      <c r="N13">
        <v>31500</v>
      </c>
      <c r="O13">
        <v>-12.784599999999999</v>
      </c>
      <c r="P13">
        <v>69.716899999999995</v>
      </c>
      <c r="Q13">
        <v>12.49</v>
      </c>
      <c r="R13">
        <v>9135</v>
      </c>
      <c r="S13">
        <v>-0.54630000000000001</v>
      </c>
      <c r="T13" t="s">
        <v>344</v>
      </c>
      <c r="U13">
        <v>57589.599999999999</v>
      </c>
      <c r="V13">
        <v>310.40000000000146</v>
      </c>
      <c r="W13">
        <v>-298.54999999999995</v>
      </c>
      <c r="X13">
        <v>0.71</v>
      </c>
    </row>
    <row r="14" spans="1:24" x14ac:dyDescent="0.3">
      <c r="A14">
        <v>100</v>
      </c>
      <c r="B14" s="1">
        <v>45869</v>
      </c>
      <c r="C14">
        <v>0.30969999999999998</v>
      </c>
      <c r="D14" t="s">
        <v>345</v>
      </c>
      <c r="E14">
        <v>0.43540000000000001</v>
      </c>
      <c r="F14">
        <v>664580</v>
      </c>
      <c r="G14">
        <v>12.43</v>
      </c>
      <c r="H14">
        <v>69.269300000000001</v>
      </c>
      <c r="I14">
        <v>-12.642300000000001</v>
      </c>
      <c r="J14">
        <v>2232510</v>
      </c>
      <c r="K14" s="30">
        <v>690.4</v>
      </c>
      <c r="L14" s="2">
        <v>58000</v>
      </c>
      <c r="M14">
        <v>1095.9000000000001</v>
      </c>
      <c r="N14">
        <v>406630</v>
      </c>
      <c r="O14">
        <v>-12.746499999999999</v>
      </c>
      <c r="P14">
        <v>69.287099999999995</v>
      </c>
      <c r="Q14">
        <v>12.53</v>
      </c>
      <c r="R14">
        <v>205800</v>
      </c>
      <c r="S14">
        <v>-0.56389999999999996</v>
      </c>
      <c r="T14" t="s">
        <v>346</v>
      </c>
      <c r="U14">
        <v>57589.599999999999</v>
      </c>
      <c r="V14">
        <v>410.40000000000146</v>
      </c>
      <c r="W14">
        <v>-405.50000000000011</v>
      </c>
      <c r="X14">
        <v>0.63</v>
      </c>
    </row>
    <row r="15" spans="1:24" x14ac:dyDescent="0.3">
      <c r="A15">
        <v>101</v>
      </c>
      <c r="B15" s="1">
        <v>45869</v>
      </c>
      <c r="C15">
        <v>9.5500000000000002E-2</v>
      </c>
      <c r="D15" t="s">
        <v>347</v>
      </c>
      <c r="E15">
        <v>0.41770000000000002</v>
      </c>
      <c r="F15">
        <v>38465</v>
      </c>
      <c r="G15">
        <v>12.43</v>
      </c>
      <c r="H15">
        <v>68.690899999999999</v>
      </c>
      <c r="I15">
        <v>-12.541600000000001</v>
      </c>
      <c r="J15">
        <v>273350</v>
      </c>
      <c r="K15" s="30">
        <v>649.79999999999995</v>
      </c>
      <c r="L15" s="2">
        <v>58100</v>
      </c>
      <c r="M15">
        <v>1146.55</v>
      </c>
      <c r="N15">
        <v>7350</v>
      </c>
      <c r="O15">
        <v>-12.516299999999999</v>
      </c>
      <c r="P15">
        <v>68.684100000000001</v>
      </c>
      <c r="Q15">
        <v>12.41</v>
      </c>
      <c r="R15">
        <v>3675</v>
      </c>
      <c r="S15">
        <v>-0.58250000000000002</v>
      </c>
      <c r="T15" t="s">
        <v>348</v>
      </c>
      <c r="U15">
        <v>57589.599999999999</v>
      </c>
      <c r="V15">
        <v>510.40000000000146</v>
      </c>
      <c r="W15">
        <v>-496.75</v>
      </c>
      <c r="X15">
        <v>0.56999999999999995</v>
      </c>
    </row>
    <row r="16" spans="1:24" x14ac:dyDescent="0.3">
      <c r="A16">
        <v>102</v>
      </c>
      <c r="B16" s="1">
        <v>45869</v>
      </c>
      <c r="C16">
        <v>0.33989999999999998</v>
      </c>
      <c r="D16" t="s">
        <v>349</v>
      </c>
      <c r="E16">
        <v>0.4</v>
      </c>
      <c r="F16">
        <v>44170</v>
      </c>
      <c r="G16">
        <v>12.42</v>
      </c>
      <c r="H16">
        <v>67.972800000000007</v>
      </c>
      <c r="I16">
        <v>-12.398099999999999</v>
      </c>
      <c r="J16">
        <v>336210</v>
      </c>
      <c r="K16" s="30">
        <v>609.5</v>
      </c>
      <c r="L16" s="2">
        <v>58200</v>
      </c>
      <c r="M16">
        <v>1204.8499999999999</v>
      </c>
      <c r="N16">
        <v>25865</v>
      </c>
      <c r="O16">
        <v>-12.349</v>
      </c>
      <c r="P16">
        <v>67.9542</v>
      </c>
      <c r="Q16">
        <v>12.38</v>
      </c>
      <c r="R16">
        <v>15015</v>
      </c>
      <c r="S16">
        <v>-0.60040000000000004</v>
      </c>
      <c r="T16" t="s">
        <v>350</v>
      </c>
      <c r="U16">
        <v>57589.599999999999</v>
      </c>
      <c r="V16">
        <v>610.40000000000146</v>
      </c>
      <c r="W16">
        <v>-595.34999999999991</v>
      </c>
      <c r="X16">
        <v>0.51</v>
      </c>
    </row>
    <row r="17" spans="1:24" x14ac:dyDescent="0.3">
      <c r="A17">
        <v>103</v>
      </c>
      <c r="B17" s="1">
        <v>45869</v>
      </c>
      <c r="C17">
        <v>7.3300000000000004E-2</v>
      </c>
      <c r="D17" t="s">
        <v>351</v>
      </c>
      <c r="E17">
        <v>0.38240000000000002</v>
      </c>
      <c r="F17">
        <v>33880</v>
      </c>
      <c r="G17">
        <v>12.41</v>
      </c>
      <c r="H17">
        <v>67.119900000000001</v>
      </c>
      <c r="I17">
        <v>-12.2256</v>
      </c>
      <c r="J17">
        <v>260540</v>
      </c>
      <c r="K17" s="30">
        <v>570.65</v>
      </c>
      <c r="L17" s="2">
        <v>58300</v>
      </c>
      <c r="M17">
        <v>1265</v>
      </c>
      <c r="N17">
        <v>2065</v>
      </c>
      <c r="O17">
        <v>-12.1594</v>
      </c>
      <c r="P17">
        <v>67.086299999999994</v>
      </c>
      <c r="Q17">
        <v>12.34</v>
      </c>
      <c r="R17">
        <v>2485</v>
      </c>
      <c r="S17">
        <v>-0.61819999999999997</v>
      </c>
      <c r="T17" t="s">
        <v>352</v>
      </c>
      <c r="U17">
        <v>57589.599999999999</v>
      </c>
      <c r="V17">
        <v>710.40000000000146</v>
      </c>
      <c r="W17">
        <v>-694.35</v>
      </c>
      <c r="X17">
        <v>0.45</v>
      </c>
    </row>
    <row r="18" spans="1:24" x14ac:dyDescent="0.3">
      <c r="A18">
        <v>104</v>
      </c>
      <c r="B18" s="1">
        <v>45869</v>
      </c>
      <c r="C18">
        <v>5.8400000000000001E-2</v>
      </c>
      <c r="D18" t="s">
        <v>363</v>
      </c>
      <c r="E18">
        <v>0.36509999999999998</v>
      </c>
      <c r="F18">
        <v>32340</v>
      </c>
      <c r="G18">
        <v>12.39</v>
      </c>
      <c r="H18">
        <v>66.136799999999994</v>
      </c>
      <c r="I18">
        <v>-12.028</v>
      </c>
      <c r="J18">
        <v>268835</v>
      </c>
      <c r="K18" s="30">
        <v>531.79999999999995</v>
      </c>
      <c r="L18" s="2">
        <v>58400</v>
      </c>
      <c r="M18">
        <v>1335</v>
      </c>
      <c r="N18">
        <v>2170</v>
      </c>
      <c r="O18">
        <v>-12.080399999999999</v>
      </c>
      <c r="P18">
        <v>66.170299999999997</v>
      </c>
      <c r="Q18">
        <v>12.43</v>
      </c>
      <c r="R18">
        <v>1890</v>
      </c>
      <c r="S18">
        <v>-0.63439999999999996</v>
      </c>
      <c r="T18" t="s">
        <v>364</v>
      </c>
      <c r="U18">
        <v>57589.599999999999</v>
      </c>
      <c r="V18">
        <v>810.40000000000146</v>
      </c>
      <c r="W18">
        <v>-803.2</v>
      </c>
      <c r="X18">
        <v>0.4</v>
      </c>
    </row>
    <row r="19" spans="1:24" x14ac:dyDescent="0.3">
      <c r="A19">
        <v>121</v>
      </c>
      <c r="B19" s="1">
        <v>45834</v>
      </c>
      <c r="C19">
        <v>0.30990000000000001</v>
      </c>
      <c r="D19" t="s">
        <v>64</v>
      </c>
      <c r="E19">
        <v>0.35370000000000001</v>
      </c>
      <c r="F19">
        <v>227310</v>
      </c>
      <c r="G19">
        <v>14.37</v>
      </c>
      <c r="H19">
        <v>30.849399999999999</v>
      </c>
      <c r="I19">
        <v>-27.505400000000002</v>
      </c>
      <c r="J19">
        <v>862560</v>
      </c>
      <c r="K19" s="30">
        <v>280.8</v>
      </c>
      <c r="L19" s="2">
        <v>56300</v>
      </c>
      <c r="M19">
        <v>747.15</v>
      </c>
      <c r="N19">
        <v>150960</v>
      </c>
      <c r="O19">
        <v>-27.7485</v>
      </c>
      <c r="P19">
        <v>30.8843</v>
      </c>
      <c r="Q19">
        <v>14.48</v>
      </c>
      <c r="R19">
        <v>70440</v>
      </c>
      <c r="S19">
        <v>-0.64510000000000001</v>
      </c>
      <c r="T19" t="s">
        <v>65</v>
      </c>
      <c r="U19">
        <v>55832.55</v>
      </c>
      <c r="V19">
        <v>467.44999999999709</v>
      </c>
      <c r="W19">
        <v>-466.34999999999997</v>
      </c>
      <c r="X19">
        <v>0.38</v>
      </c>
    </row>
    <row r="20" spans="1:24" x14ac:dyDescent="0.3">
      <c r="A20">
        <v>122</v>
      </c>
      <c r="B20" s="1">
        <v>45834</v>
      </c>
      <c r="C20">
        <v>0.63770000000000004</v>
      </c>
      <c r="D20" t="s">
        <v>66</v>
      </c>
      <c r="E20">
        <v>0.32340000000000002</v>
      </c>
      <c r="F20">
        <v>202290</v>
      </c>
      <c r="G20">
        <v>14.37</v>
      </c>
      <c r="H20">
        <v>29.800799999999999</v>
      </c>
      <c r="I20">
        <v>-26.577500000000001</v>
      </c>
      <c r="J20">
        <v>788100</v>
      </c>
      <c r="K20" s="30">
        <v>248.25</v>
      </c>
      <c r="L20" s="2">
        <v>56400</v>
      </c>
      <c r="M20">
        <v>829.3</v>
      </c>
      <c r="N20">
        <v>100470</v>
      </c>
      <c r="O20">
        <v>-27.967199999999998</v>
      </c>
      <c r="P20">
        <v>30.066299999999998</v>
      </c>
      <c r="Q20">
        <v>14.99</v>
      </c>
      <c r="R20">
        <v>129000</v>
      </c>
      <c r="S20">
        <v>-0.66949999999999998</v>
      </c>
      <c r="T20" t="s">
        <v>67</v>
      </c>
      <c r="U20">
        <v>55832.55</v>
      </c>
      <c r="V20">
        <v>567.44999999999709</v>
      </c>
      <c r="W20">
        <v>-581.04999999999995</v>
      </c>
      <c r="X20">
        <v>0.3</v>
      </c>
    </row>
    <row r="21" spans="1:24" x14ac:dyDescent="0.3">
      <c r="A21">
        <v>123</v>
      </c>
      <c r="B21" s="1">
        <v>45834</v>
      </c>
      <c r="C21">
        <v>0.3256</v>
      </c>
      <c r="D21" t="s">
        <v>68</v>
      </c>
      <c r="E21">
        <v>0.2944</v>
      </c>
      <c r="F21">
        <v>1134000</v>
      </c>
      <c r="G21">
        <v>14.39</v>
      </c>
      <c r="H21">
        <v>28.597799999999999</v>
      </c>
      <c r="I21">
        <v>-25.524899999999999</v>
      </c>
      <c r="J21">
        <v>2686590</v>
      </c>
      <c r="K21" s="30">
        <v>217.95</v>
      </c>
      <c r="L21" s="2">
        <v>56500</v>
      </c>
      <c r="M21">
        <v>880</v>
      </c>
      <c r="N21">
        <v>552870</v>
      </c>
      <c r="O21">
        <v>-25.445499999999999</v>
      </c>
      <c r="P21">
        <v>28.577000000000002</v>
      </c>
      <c r="Q21">
        <v>14.35</v>
      </c>
      <c r="R21">
        <v>369180</v>
      </c>
      <c r="S21">
        <v>-0.70609999999999995</v>
      </c>
      <c r="T21" t="s">
        <v>69</v>
      </c>
      <c r="U21">
        <v>55832.55</v>
      </c>
      <c r="V21">
        <v>667.44999999999709</v>
      </c>
      <c r="W21">
        <v>-662.05</v>
      </c>
      <c r="X21">
        <v>0.25</v>
      </c>
    </row>
    <row r="22" spans="1:24" x14ac:dyDescent="0.3">
      <c r="A22">
        <v>124</v>
      </c>
      <c r="B22" s="1">
        <v>45834</v>
      </c>
      <c r="C22">
        <v>0.24929999999999999</v>
      </c>
      <c r="D22" t="s">
        <v>70</v>
      </c>
      <c r="E22">
        <v>0.26629999999999998</v>
      </c>
      <c r="F22">
        <v>353880</v>
      </c>
      <c r="G22">
        <v>14.37</v>
      </c>
      <c r="H22">
        <v>27.241599999999998</v>
      </c>
      <c r="I22">
        <v>-24.288699999999999</v>
      </c>
      <c r="J22">
        <v>781440</v>
      </c>
      <c r="K22" s="30">
        <v>191.25</v>
      </c>
      <c r="L22" s="2">
        <v>56600</v>
      </c>
      <c r="M22">
        <v>960.75</v>
      </c>
      <c r="N22">
        <v>46650</v>
      </c>
      <c r="O22">
        <v>-24.9389</v>
      </c>
      <c r="P22">
        <v>27.446300000000001</v>
      </c>
      <c r="Q22">
        <v>14.64</v>
      </c>
      <c r="R22">
        <v>88230</v>
      </c>
      <c r="S22">
        <v>-0.72970000000000002</v>
      </c>
      <c r="T22" t="s">
        <v>71</v>
      </c>
      <c r="U22">
        <v>55832.55</v>
      </c>
      <c r="V22">
        <v>767.44999999999709</v>
      </c>
      <c r="W22">
        <v>-769.5</v>
      </c>
      <c r="X22">
        <v>0.2</v>
      </c>
    </row>
    <row r="23" spans="1:24" x14ac:dyDescent="0.3">
      <c r="A23">
        <v>125</v>
      </c>
      <c r="B23" s="1">
        <v>45834</v>
      </c>
      <c r="C23">
        <v>0.16569999999999999</v>
      </c>
      <c r="D23" t="s">
        <v>72</v>
      </c>
      <c r="E23">
        <v>0.24030000000000001</v>
      </c>
      <c r="F23">
        <v>332100</v>
      </c>
      <c r="G23">
        <v>14.4</v>
      </c>
      <c r="H23">
        <v>25.811499999999999</v>
      </c>
      <c r="I23">
        <v>-23.0625</v>
      </c>
      <c r="J23">
        <v>711540</v>
      </c>
      <c r="K23" s="30">
        <v>166.45</v>
      </c>
      <c r="L23" s="2">
        <v>56700</v>
      </c>
      <c r="M23">
        <v>1040</v>
      </c>
      <c r="N23">
        <v>25710</v>
      </c>
      <c r="O23">
        <v>-24.0488</v>
      </c>
      <c r="P23">
        <v>26.1736</v>
      </c>
      <c r="Q23">
        <v>14.81</v>
      </c>
      <c r="R23">
        <v>55020</v>
      </c>
      <c r="S23">
        <v>-0.75339999999999996</v>
      </c>
      <c r="T23" t="s">
        <v>73</v>
      </c>
      <c r="U23">
        <v>55832.55</v>
      </c>
      <c r="V23">
        <v>867.44999999999709</v>
      </c>
      <c r="W23">
        <v>-873.55</v>
      </c>
      <c r="X23">
        <v>0.16</v>
      </c>
    </row>
    <row r="24" spans="1:24" x14ac:dyDescent="0.3">
      <c r="A24">
        <v>126</v>
      </c>
      <c r="B24" s="1">
        <v>45834</v>
      </c>
      <c r="C24">
        <v>0.28149999999999997</v>
      </c>
      <c r="D24" t="s">
        <v>166</v>
      </c>
      <c r="E24">
        <v>0.216</v>
      </c>
      <c r="F24">
        <v>357090</v>
      </c>
      <c r="G24">
        <v>14.43</v>
      </c>
      <c r="H24">
        <v>24.305299999999999</v>
      </c>
      <c r="I24">
        <v>-21.762699999999999</v>
      </c>
      <c r="J24">
        <v>652500</v>
      </c>
      <c r="K24" s="30">
        <v>145.69999999999999</v>
      </c>
      <c r="L24" s="2">
        <v>56800</v>
      </c>
      <c r="M24">
        <v>1132.9000000000001</v>
      </c>
      <c r="N24">
        <v>22050</v>
      </c>
      <c r="O24">
        <v>-24.223199999999999</v>
      </c>
      <c r="P24">
        <v>25.294799999999999</v>
      </c>
      <c r="Q24">
        <v>15.43</v>
      </c>
      <c r="R24">
        <v>100530</v>
      </c>
      <c r="S24">
        <v>-0.76829999999999998</v>
      </c>
      <c r="T24" t="s">
        <v>167</v>
      </c>
      <c r="U24">
        <v>55832.55</v>
      </c>
      <c r="V24">
        <v>967.44999999999709</v>
      </c>
      <c r="W24">
        <v>-987.2</v>
      </c>
      <c r="X24">
        <v>0.13</v>
      </c>
    </row>
    <row r="25" spans="1:24" x14ac:dyDescent="0.3">
      <c r="A25">
        <v>127</v>
      </c>
      <c r="B25" s="1">
        <v>45834</v>
      </c>
      <c r="C25">
        <v>0.31259999999999999</v>
      </c>
      <c r="D25" t="s">
        <v>187</v>
      </c>
      <c r="E25">
        <v>0.1933</v>
      </c>
      <c r="F25">
        <v>343890</v>
      </c>
      <c r="G25">
        <v>14.47</v>
      </c>
      <c r="H25">
        <v>22.752800000000001</v>
      </c>
      <c r="I25">
        <v>-20.421099999999999</v>
      </c>
      <c r="J25">
        <v>504300</v>
      </c>
      <c r="K25" s="30">
        <v>126.95</v>
      </c>
      <c r="L25" s="2">
        <v>56900</v>
      </c>
      <c r="M25">
        <v>1210</v>
      </c>
      <c r="N25">
        <v>9540</v>
      </c>
      <c r="O25">
        <v>-22.670300000000001</v>
      </c>
      <c r="P25">
        <v>23.773</v>
      </c>
      <c r="Q25">
        <v>15.37</v>
      </c>
      <c r="R25">
        <v>107490</v>
      </c>
      <c r="S25">
        <v>-0.79210000000000003</v>
      </c>
      <c r="T25" t="s">
        <v>188</v>
      </c>
      <c r="U25">
        <v>55832.55</v>
      </c>
      <c r="V25">
        <v>1067.4499999999971</v>
      </c>
      <c r="W25">
        <v>-1083.05</v>
      </c>
      <c r="X25">
        <v>0.1</v>
      </c>
    </row>
    <row r="26" spans="1:24" x14ac:dyDescent="0.3">
      <c r="A26">
        <v>128</v>
      </c>
      <c r="B26" s="1">
        <v>45834</v>
      </c>
      <c r="C26">
        <v>0.1613</v>
      </c>
      <c r="D26" t="s">
        <v>193</v>
      </c>
      <c r="E26">
        <v>0.1726</v>
      </c>
      <c r="F26">
        <v>1673475</v>
      </c>
      <c r="G26">
        <v>14.52</v>
      </c>
      <c r="H26">
        <v>21.1997</v>
      </c>
      <c r="I26">
        <v>-19.0974</v>
      </c>
      <c r="J26">
        <v>2625300</v>
      </c>
      <c r="K26" s="30">
        <v>109.95</v>
      </c>
      <c r="L26" s="2">
        <v>57000</v>
      </c>
      <c r="M26">
        <v>1272.45</v>
      </c>
      <c r="N26">
        <v>244500</v>
      </c>
      <c r="O26">
        <v>-19.0974</v>
      </c>
      <c r="P26">
        <v>21.1997</v>
      </c>
      <c r="Q26">
        <v>14.52</v>
      </c>
      <c r="R26">
        <v>269910</v>
      </c>
      <c r="S26">
        <v>-0.82740000000000002</v>
      </c>
      <c r="T26" t="s">
        <v>194</v>
      </c>
      <c r="U26">
        <v>55832.55</v>
      </c>
      <c r="V26">
        <v>1167.4499999999971</v>
      </c>
      <c r="W26">
        <v>-1162.5</v>
      </c>
      <c r="X26">
        <v>0.09</v>
      </c>
    </row>
    <row r="27" spans="1:24" x14ac:dyDescent="0.3">
      <c r="A27">
        <v>137</v>
      </c>
      <c r="B27" s="1">
        <v>45834</v>
      </c>
      <c r="C27">
        <v>4.07E-2</v>
      </c>
      <c r="D27" t="s">
        <v>94</v>
      </c>
      <c r="E27">
        <v>0.27410000000000001</v>
      </c>
      <c r="F27">
        <v>92220</v>
      </c>
      <c r="G27">
        <v>13.94</v>
      </c>
      <c r="H27">
        <v>38.6023</v>
      </c>
      <c r="I27">
        <v>-17.774699999999999</v>
      </c>
      <c r="J27">
        <v>281730</v>
      </c>
      <c r="K27" s="30">
        <v>268.39999999999998</v>
      </c>
      <c r="L27" s="2">
        <v>57900</v>
      </c>
      <c r="M27">
        <v>1270.25</v>
      </c>
      <c r="N27">
        <v>1560</v>
      </c>
      <c r="O27">
        <v>-17.808199999999999</v>
      </c>
      <c r="P27">
        <v>38.622199999999999</v>
      </c>
      <c r="Q27">
        <v>13.96</v>
      </c>
      <c r="R27">
        <v>3750</v>
      </c>
      <c r="S27">
        <v>-0.72560000000000002</v>
      </c>
      <c r="T27" t="s">
        <v>95</v>
      </c>
      <c r="U27">
        <v>56900.85</v>
      </c>
      <c r="V27">
        <v>999.15000000000146</v>
      </c>
      <c r="W27">
        <v>-1001.85</v>
      </c>
      <c r="X27">
        <v>0.21</v>
      </c>
    </row>
    <row r="28" spans="1:24" x14ac:dyDescent="0.3">
      <c r="A28">
        <v>138</v>
      </c>
      <c r="B28" s="1">
        <v>45834</v>
      </c>
      <c r="C28">
        <v>0.1142</v>
      </c>
      <c r="D28" t="s">
        <v>96</v>
      </c>
      <c r="E28">
        <v>0.25440000000000002</v>
      </c>
      <c r="F28">
        <v>929430</v>
      </c>
      <c r="G28">
        <v>14.02</v>
      </c>
      <c r="H28">
        <v>37.153599999999997</v>
      </c>
      <c r="I28">
        <v>-17.210699999999999</v>
      </c>
      <c r="J28">
        <v>1523910</v>
      </c>
      <c r="K28" s="30">
        <v>244.5</v>
      </c>
      <c r="L28" s="2">
        <v>58000</v>
      </c>
      <c r="M28">
        <v>1342</v>
      </c>
      <c r="N28">
        <v>69900</v>
      </c>
      <c r="O28">
        <v>-17.012899999999998</v>
      </c>
      <c r="P28">
        <v>37.018700000000003</v>
      </c>
      <c r="Q28">
        <v>13.91</v>
      </c>
      <c r="R28">
        <v>106140</v>
      </c>
      <c r="S28">
        <v>-0.74739999999999995</v>
      </c>
      <c r="T28" t="s">
        <v>97</v>
      </c>
      <c r="U28">
        <v>56900.85</v>
      </c>
      <c r="V28">
        <v>1099.1500000000015</v>
      </c>
      <c r="W28">
        <v>-1097.5</v>
      </c>
      <c r="X28">
        <v>0.18</v>
      </c>
    </row>
    <row r="29" spans="1:24" x14ac:dyDescent="0.3">
      <c r="A29">
        <v>139</v>
      </c>
      <c r="B29" s="1">
        <v>45834</v>
      </c>
      <c r="C29">
        <v>1.04E-2</v>
      </c>
      <c r="D29" t="s">
        <v>98</v>
      </c>
      <c r="E29">
        <v>0.23499999999999999</v>
      </c>
      <c r="F29">
        <v>83790</v>
      </c>
      <c r="G29">
        <v>14</v>
      </c>
      <c r="H29">
        <v>35.599899999999998</v>
      </c>
      <c r="I29">
        <v>-16.459599999999998</v>
      </c>
      <c r="J29">
        <v>264450</v>
      </c>
      <c r="K29" s="30">
        <v>219.9</v>
      </c>
      <c r="L29" s="2">
        <v>58100</v>
      </c>
      <c r="M29">
        <v>1500</v>
      </c>
      <c r="N29">
        <v>660</v>
      </c>
      <c r="O29">
        <v>-20.0044</v>
      </c>
      <c r="P29">
        <v>37.914200000000001</v>
      </c>
      <c r="Q29">
        <v>15.97</v>
      </c>
      <c r="R29">
        <v>870</v>
      </c>
      <c r="S29">
        <v>-0.73550000000000004</v>
      </c>
      <c r="T29" t="s">
        <v>99</v>
      </c>
      <c r="U29">
        <v>56900.85</v>
      </c>
      <c r="V29">
        <v>1199.1500000000015</v>
      </c>
      <c r="W29">
        <v>-1280.0999999999999</v>
      </c>
      <c r="X29">
        <v>0.15</v>
      </c>
    </row>
    <row r="30" spans="1:24" x14ac:dyDescent="0.3">
      <c r="A30">
        <v>140</v>
      </c>
      <c r="B30" s="1">
        <v>45834</v>
      </c>
      <c r="C30">
        <v>2.6800000000000001E-2</v>
      </c>
      <c r="D30" t="s">
        <v>100</v>
      </c>
      <c r="E30">
        <v>0.21659999999999999</v>
      </c>
      <c r="F30">
        <v>81750</v>
      </c>
      <c r="G30">
        <v>13.98</v>
      </c>
      <c r="H30">
        <v>33.995600000000003</v>
      </c>
      <c r="I30">
        <v>-15.700699999999999</v>
      </c>
      <c r="J30">
        <v>197730</v>
      </c>
      <c r="K30" s="30">
        <v>197.6</v>
      </c>
      <c r="L30" s="2">
        <v>58200</v>
      </c>
      <c r="M30">
        <v>1480</v>
      </c>
      <c r="N30">
        <v>990</v>
      </c>
      <c r="O30">
        <v>-14.321400000000001</v>
      </c>
      <c r="P30">
        <v>32.761200000000002</v>
      </c>
      <c r="Q30">
        <v>13.23</v>
      </c>
      <c r="R30">
        <v>2190</v>
      </c>
      <c r="S30">
        <v>-0.79659999999999997</v>
      </c>
      <c r="T30" t="s">
        <v>101</v>
      </c>
      <c r="U30">
        <v>56900.85</v>
      </c>
      <c r="V30">
        <v>1299.1500000000015</v>
      </c>
      <c r="W30">
        <v>-1282.4000000000001</v>
      </c>
      <c r="X30">
        <v>0.13</v>
      </c>
    </row>
    <row r="31" spans="1:24" x14ac:dyDescent="0.3">
      <c r="A31">
        <v>141</v>
      </c>
      <c r="B31" s="1">
        <v>45834</v>
      </c>
      <c r="C31">
        <v>6.7000000000000002E-3</v>
      </c>
      <c r="D31" t="s">
        <v>106</v>
      </c>
      <c r="E31">
        <v>0.20030000000000001</v>
      </c>
      <c r="F31">
        <v>71910</v>
      </c>
      <c r="G31">
        <v>13.98</v>
      </c>
      <c r="H31">
        <v>32.469099999999997</v>
      </c>
      <c r="I31">
        <v>-14.9915</v>
      </c>
      <c r="J31">
        <v>182070</v>
      </c>
      <c r="K31" s="30">
        <v>179.4</v>
      </c>
      <c r="L31" s="2">
        <v>58300</v>
      </c>
      <c r="M31">
        <v>1606.2</v>
      </c>
      <c r="N31">
        <v>570</v>
      </c>
      <c r="O31">
        <v>-16.459099999999999</v>
      </c>
      <c r="P31">
        <v>33.732700000000001</v>
      </c>
      <c r="Q31">
        <v>14.77</v>
      </c>
      <c r="R31">
        <v>480</v>
      </c>
      <c r="S31">
        <v>-0.7863</v>
      </c>
      <c r="T31" t="s">
        <v>107</v>
      </c>
      <c r="U31">
        <v>56900.85</v>
      </c>
      <c r="V31">
        <v>1399.1500000000015</v>
      </c>
      <c r="W31">
        <v>-1426.8</v>
      </c>
      <c r="X31">
        <v>0.11</v>
      </c>
    </row>
    <row r="32" spans="1:24" x14ac:dyDescent="0.3">
      <c r="A32">
        <v>142</v>
      </c>
      <c r="B32" s="1">
        <v>45834</v>
      </c>
      <c r="C32">
        <v>2.8E-3</v>
      </c>
      <c r="D32" t="s">
        <v>136</v>
      </c>
      <c r="E32">
        <v>0.18340000000000001</v>
      </c>
      <c r="F32">
        <v>75420</v>
      </c>
      <c r="G32">
        <v>14.01</v>
      </c>
      <c r="H32">
        <v>30.7576</v>
      </c>
      <c r="I32">
        <v>-14.2323</v>
      </c>
      <c r="J32">
        <v>211020</v>
      </c>
      <c r="K32" s="30">
        <v>161</v>
      </c>
      <c r="L32" s="2">
        <v>58400</v>
      </c>
      <c r="M32">
        <v>3180.7</v>
      </c>
      <c r="N32">
        <v>0</v>
      </c>
      <c r="O32">
        <v>-75.318600000000004</v>
      </c>
      <c r="P32">
        <v>45.292499999999997</v>
      </c>
      <c r="Q32">
        <v>50.34</v>
      </c>
      <c r="R32">
        <v>210</v>
      </c>
      <c r="S32">
        <v>-0.58009999999999995</v>
      </c>
      <c r="T32" t="s">
        <v>137</v>
      </c>
      <c r="U32">
        <v>56900.85</v>
      </c>
      <c r="V32">
        <v>1499.1500000000015</v>
      </c>
      <c r="W32">
        <v>-3019.7</v>
      </c>
      <c r="X32">
        <v>0.05</v>
      </c>
    </row>
  </sheetData>
  <conditionalFormatting sqref="A2:X32">
    <cfRule type="expression" dxfId="1" priority="1">
      <formula>$V2=MIN($V$2:$V$50)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2"/>
  <sheetViews>
    <sheetView topLeftCell="A4" workbookViewId="0">
      <selection activeCell="I11" sqref="I11"/>
    </sheetView>
  </sheetViews>
  <sheetFormatPr defaultRowHeight="14.4" x14ac:dyDescent="0.3"/>
  <cols>
    <col min="2" max="2" width="10.33203125" bestFit="1" customWidth="1"/>
    <col min="11" max="11" width="10.44140625" style="30" bestFit="1" customWidth="1"/>
    <col min="12" max="12" width="8.88671875" style="2"/>
  </cols>
  <sheetData>
    <row r="1" spans="1:24" x14ac:dyDescent="0.3"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52</v>
      </c>
      <c r="K1" s="30" t="s">
        <v>10</v>
      </c>
      <c r="L1" s="2" t="s">
        <v>11</v>
      </c>
      <c r="M1" t="s">
        <v>12</v>
      </c>
      <c r="N1" t="s">
        <v>53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</row>
    <row r="2" spans="1:24" x14ac:dyDescent="0.3">
      <c r="A2">
        <v>101</v>
      </c>
      <c r="B2" s="1">
        <v>45839</v>
      </c>
      <c r="C2">
        <v>2.4329999999999998</v>
      </c>
      <c r="D2" t="s">
        <v>243</v>
      </c>
      <c r="E2">
        <v>0.7923</v>
      </c>
      <c r="F2">
        <v>141880</v>
      </c>
      <c r="G2">
        <v>10.59</v>
      </c>
      <c r="H2">
        <v>25.365500000000001</v>
      </c>
      <c r="I2">
        <v>-33.133800000000001</v>
      </c>
      <c r="J2">
        <v>422160</v>
      </c>
      <c r="K2" s="30">
        <v>865.75</v>
      </c>
      <c r="L2" s="2">
        <v>83300</v>
      </c>
      <c r="M2">
        <v>111.25</v>
      </c>
      <c r="N2">
        <v>4176900</v>
      </c>
      <c r="O2">
        <v>-33.4101</v>
      </c>
      <c r="P2">
        <v>25.448699999999999</v>
      </c>
      <c r="Q2">
        <v>10.64</v>
      </c>
      <c r="R2">
        <v>345200</v>
      </c>
      <c r="S2">
        <v>-0.2089</v>
      </c>
      <c r="T2" t="s">
        <v>244</v>
      </c>
      <c r="U2">
        <v>84053.95</v>
      </c>
      <c r="V2">
        <v>753.94999999999709</v>
      </c>
      <c r="W2">
        <v>754.5</v>
      </c>
      <c r="X2">
        <v>7.78</v>
      </c>
    </row>
    <row r="3" spans="1:24" x14ac:dyDescent="0.3">
      <c r="A3">
        <v>102</v>
      </c>
      <c r="B3" s="1">
        <v>45839</v>
      </c>
      <c r="C3">
        <v>3.5676999999999999</v>
      </c>
      <c r="D3" t="s">
        <v>245</v>
      </c>
      <c r="E3">
        <v>0.76459999999999995</v>
      </c>
      <c r="F3">
        <v>88740</v>
      </c>
      <c r="G3">
        <v>10.38</v>
      </c>
      <c r="H3">
        <v>27.246700000000001</v>
      </c>
      <c r="I3">
        <v>-34.873100000000001</v>
      </c>
      <c r="J3">
        <v>508960</v>
      </c>
      <c r="K3" s="30">
        <v>782.6</v>
      </c>
      <c r="L3" s="2">
        <v>83400</v>
      </c>
      <c r="M3">
        <v>128.35</v>
      </c>
      <c r="N3">
        <v>5021740</v>
      </c>
      <c r="O3">
        <v>-35.047499999999999</v>
      </c>
      <c r="P3">
        <v>27.2927</v>
      </c>
      <c r="Q3">
        <v>10.41</v>
      </c>
      <c r="R3">
        <v>316600</v>
      </c>
      <c r="S3">
        <v>-0.2361</v>
      </c>
      <c r="T3" t="s">
        <v>246</v>
      </c>
      <c r="U3">
        <v>84053.95</v>
      </c>
      <c r="V3">
        <v>653.94999999999709</v>
      </c>
      <c r="W3">
        <v>654.25</v>
      </c>
      <c r="X3">
        <v>6.1</v>
      </c>
    </row>
    <row r="4" spans="1:24" x14ac:dyDescent="0.3">
      <c r="A4">
        <v>103</v>
      </c>
      <c r="B4" s="1">
        <v>45839</v>
      </c>
      <c r="C4">
        <v>2.8342000000000001</v>
      </c>
      <c r="D4" t="s">
        <v>247</v>
      </c>
      <c r="E4">
        <v>0.73429999999999995</v>
      </c>
      <c r="F4">
        <v>296960</v>
      </c>
      <c r="G4">
        <v>10.14</v>
      </c>
      <c r="H4">
        <v>29.053699999999999</v>
      </c>
      <c r="I4">
        <v>-36.324599999999997</v>
      </c>
      <c r="J4">
        <v>3421780</v>
      </c>
      <c r="K4" s="30">
        <v>701.4</v>
      </c>
      <c r="L4" s="2">
        <v>83500</v>
      </c>
      <c r="M4">
        <v>148.05000000000001</v>
      </c>
      <c r="N4">
        <v>13836500</v>
      </c>
      <c r="O4">
        <v>-36.740900000000003</v>
      </c>
      <c r="P4">
        <v>29.145299999999999</v>
      </c>
      <c r="Q4">
        <v>10.220000000000001</v>
      </c>
      <c r="R4">
        <v>841640</v>
      </c>
      <c r="S4">
        <v>-0.26740000000000003</v>
      </c>
      <c r="T4" t="s">
        <v>248</v>
      </c>
      <c r="U4">
        <v>84053.95</v>
      </c>
      <c r="V4">
        <v>553.94999999999709</v>
      </c>
      <c r="W4">
        <v>553.34999999999991</v>
      </c>
      <c r="X4">
        <v>4.74</v>
      </c>
    </row>
    <row r="5" spans="1:24" x14ac:dyDescent="0.3">
      <c r="A5">
        <v>104</v>
      </c>
      <c r="B5" s="1">
        <v>45839</v>
      </c>
      <c r="C5">
        <v>3.9653999999999998</v>
      </c>
      <c r="D5" t="s">
        <v>249</v>
      </c>
      <c r="E5">
        <v>0.69989999999999997</v>
      </c>
      <c r="F5">
        <v>100460</v>
      </c>
      <c r="G5">
        <v>9.93</v>
      </c>
      <c r="H5">
        <v>30.805</v>
      </c>
      <c r="I5">
        <v>-37.746000000000002</v>
      </c>
      <c r="J5">
        <v>2556240</v>
      </c>
      <c r="K5" s="30">
        <v>623.70000000000005</v>
      </c>
      <c r="L5" s="2">
        <v>83600</v>
      </c>
      <c r="M5">
        <v>170.4</v>
      </c>
      <c r="N5">
        <v>7195920</v>
      </c>
      <c r="O5">
        <v>-38.113700000000001</v>
      </c>
      <c r="P5">
        <v>30.867999999999999</v>
      </c>
      <c r="Q5">
        <v>10.01</v>
      </c>
      <c r="R5">
        <v>398360</v>
      </c>
      <c r="S5">
        <v>-0.30149999999999999</v>
      </c>
      <c r="T5" t="s">
        <v>250</v>
      </c>
      <c r="U5">
        <v>84053.95</v>
      </c>
      <c r="V5">
        <v>453.94999999999709</v>
      </c>
      <c r="W5">
        <v>453.30000000000007</v>
      </c>
      <c r="X5">
        <v>3.66</v>
      </c>
    </row>
    <row r="6" spans="1:24" x14ac:dyDescent="0.3">
      <c r="A6">
        <v>105</v>
      </c>
      <c r="B6" s="1">
        <v>45839</v>
      </c>
      <c r="C6">
        <v>2.8433000000000002</v>
      </c>
      <c r="D6" t="s">
        <v>251</v>
      </c>
      <c r="E6">
        <v>0.66100000000000003</v>
      </c>
      <c r="F6">
        <v>213260</v>
      </c>
      <c r="G6">
        <v>9.8000000000000007</v>
      </c>
      <c r="H6">
        <v>32.421300000000002</v>
      </c>
      <c r="I6">
        <v>-39.207700000000003</v>
      </c>
      <c r="J6">
        <v>8763860</v>
      </c>
      <c r="K6" s="30">
        <v>551.95000000000005</v>
      </c>
      <c r="L6" s="2">
        <v>83700</v>
      </c>
      <c r="M6">
        <v>198.4</v>
      </c>
      <c r="N6">
        <v>11422700</v>
      </c>
      <c r="O6">
        <v>-39.474899999999998</v>
      </c>
      <c r="P6">
        <v>32.452800000000003</v>
      </c>
      <c r="Q6">
        <v>9.86</v>
      </c>
      <c r="R6">
        <v>606360</v>
      </c>
      <c r="S6">
        <v>-0.33989999999999998</v>
      </c>
      <c r="T6" t="s">
        <v>252</v>
      </c>
      <c r="U6">
        <v>84053.95</v>
      </c>
      <c r="V6">
        <v>353.94999999999709</v>
      </c>
      <c r="W6">
        <v>353.55000000000007</v>
      </c>
      <c r="X6">
        <v>2.78</v>
      </c>
    </row>
    <row r="7" spans="1:24" x14ac:dyDescent="0.3">
      <c r="A7">
        <v>106</v>
      </c>
      <c r="B7" s="1">
        <v>45839</v>
      </c>
      <c r="C7">
        <v>1.7391000000000001</v>
      </c>
      <c r="D7" t="s">
        <v>253</v>
      </c>
      <c r="E7">
        <v>0.61919999999999997</v>
      </c>
      <c r="F7">
        <v>353480</v>
      </c>
      <c r="G7">
        <v>9.67</v>
      </c>
      <c r="H7">
        <v>33.748600000000003</v>
      </c>
      <c r="I7">
        <v>-40.2729</v>
      </c>
      <c r="J7">
        <v>13135220</v>
      </c>
      <c r="K7" s="30">
        <v>484.6</v>
      </c>
      <c r="L7" s="2">
        <v>83800</v>
      </c>
      <c r="M7">
        <v>228.9</v>
      </c>
      <c r="N7">
        <v>14328820</v>
      </c>
      <c r="O7">
        <v>-40.333399999999997</v>
      </c>
      <c r="P7">
        <v>33.752699999999997</v>
      </c>
      <c r="Q7">
        <v>9.69</v>
      </c>
      <c r="R7">
        <v>614720</v>
      </c>
      <c r="S7">
        <v>-0.38100000000000001</v>
      </c>
      <c r="T7" t="s">
        <v>254</v>
      </c>
      <c r="U7">
        <v>84053.95</v>
      </c>
      <c r="V7">
        <v>253.94999999999709</v>
      </c>
      <c r="W7">
        <v>255.70000000000002</v>
      </c>
      <c r="X7">
        <v>2.12</v>
      </c>
    </row>
    <row r="8" spans="1:24" x14ac:dyDescent="0.3">
      <c r="A8">
        <v>107</v>
      </c>
      <c r="B8" s="1">
        <v>45839</v>
      </c>
      <c r="C8">
        <v>1.2722</v>
      </c>
      <c r="D8" t="s">
        <v>257</v>
      </c>
      <c r="E8">
        <v>0.57479999999999998</v>
      </c>
      <c r="F8">
        <v>499340</v>
      </c>
      <c r="G8">
        <v>9.5500000000000007</v>
      </c>
      <c r="H8">
        <v>34.714599999999997</v>
      </c>
      <c r="I8">
        <v>-40.902999999999999</v>
      </c>
      <c r="J8">
        <v>16074120</v>
      </c>
      <c r="K8" s="30">
        <v>420.35</v>
      </c>
      <c r="L8" s="2">
        <v>83900</v>
      </c>
      <c r="M8">
        <v>265.75</v>
      </c>
      <c r="N8">
        <v>12983840</v>
      </c>
      <c r="O8">
        <v>-40.970500000000001</v>
      </c>
      <c r="P8">
        <v>34.716500000000003</v>
      </c>
      <c r="Q8">
        <v>9.57</v>
      </c>
      <c r="R8">
        <v>635240</v>
      </c>
      <c r="S8">
        <v>-0.42530000000000001</v>
      </c>
      <c r="T8" t="s">
        <v>258</v>
      </c>
      <c r="U8">
        <v>84053.95</v>
      </c>
      <c r="V8">
        <v>153.94999999999709</v>
      </c>
      <c r="W8">
        <v>154.60000000000002</v>
      </c>
      <c r="X8">
        <v>1.58</v>
      </c>
    </row>
    <row r="9" spans="1:24" x14ac:dyDescent="0.3">
      <c r="A9">
        <v>108</v>
      </c>
      <c r="B9" s="1">
        <v>45839</v>
      </c>
      <c r="C9">
        <v>0.85629999999999995</v>
      </c>
      <c r="D9" t="s">
        <v>261</v>
      </c>
      <c r="E9">
        <v>0.52829999999999999</v>
      </c>
      <c r="F9">
        <v>1107660</v>
      </c>
      <c r="G9">
        <v>9.4499999999999993</v>
      </c>
      <c r="H9">
        <v>35.249000000000002</v>
      </c>
      <c r="I9">
        <v>-41.101399999999998</v>
      </c>
      <c r="J9">
        <v>25153960</v>
      </c>
      <c r="K9" s="30">
        <v>362.9</v>
      </c>
      <c r="L9" s="2">
        <v>84000</v>
      </c>
      <c r="M9">
        <v>308.95</v>
      </c>
      <c r="N9">
        <v>13526900</v>
      </c>
      <c r="O9">
        <v>-41.267899999999997</v>
      </c>
      <c r="P9">
        <v>35.249600000000001</v>
      </c>
      <c r="Q9">
        <v>9.49</v>
      </c>
      <c r="R9">
        <v>948520</v>
      </c>
      <c r="S9">
        <v>-0.4718</v>
      </c>
      <c r="T9" t="s">
        <v>262</v>
      </c>
      <c r="U9">
        <v>84053.95</v>
      </c>
      <c r="V9">
        <v>53.94999999999709</v>
      </c>
      <c r="W9">
        <v>53.949999999999989</v>
      </c>
      <c r="X9">
        <v>1.17</v>
      </c>
    </row>
    <row r="10" spans="1:24" x14ac:dyDescent="0.3">
      <c r="A10">
        <v>109</v>
      </c>
      <c r="B10" s="1">
        <v>45839</v>
      </c>
      <c r="C10">
        <v>0.49719999999999998</v>
      </c>
      <c r="D10" t="s">
        <v>265</v>
      </c>
      <c r="E10">
        <v>0.48060000000000003</v>
      </c>
      <c r="F10">
        <v>412540</v>
      </c>
      <c r="G10">
        <v>9.4499999999999993</v>
      </c>
      <c r="H10">
        <v>35.296199999999999</v>
      </c>
      <c r="I10">
        <v>-41.123100000000001</v>
      </c>
      <c r="J10">
        <v>9544780</v>
      </c>
      <c r="K10" s="30">
        <v>312.7</v>
      </c>
      <c r="L10" s="2">
        <v>84100</v>
      </c>
      <c r="M10">
        <v>357.3</v>
      </c>
      <c r="N10">
        <v>3250040</v>
      </c>
      <c r="O10">
        <v>-41.206400000000002</v>
      </c>
      <c r="P10">
        <v>35.296399999999998</v>
      </c>
      <c r="Q10">
        <v>9.4600000000000009</v>
      </c>
      <c r="R10">
        <v>205100</v>
      </c>
      <c r="S10">
        <v>-0.51929999999999998</v>
      </c>
      <c r="T10" t="s">
        <v>266</v>
      </c>
      <c r="U10">
        <v>84053.95</v>
      </c>
      <c r="V10">
        <v>46.05000000000291</v>
      </c>
      <c r="W10">
        <v>-44.600000000000023</v>
      </c>
      <c r="X10">
        <v>0.88</v>
      </c>
    </row>
    <row r="11" spans="1:24" x14ac:dyDescent="0.3">
      <c r="A11">
        <v>110</v>
      </c>
      <c r="B11" s="1">
        <v>45839</v>
      </c>
      <c r="C11">
        <v>0.32069999999999999</v>
      </c>
      <c r="D11" t="s">
        <v>275</v>
      </c>
      <c r="E11">
        <v>0.43309999999999998</v>
      </c>
      <c r="F11">
        <v>327480</v>
      </c>
      <c r="G11">
        <v>9.42</v>
      </c>
      <c r="H11">
        <v>34.840000000000003</v>
      </c>
      <c r="I11">
        <v>-40.476799999999997</v>
      </c>
      <c r="J11">
        <v>8060760</v>
      </c>
      <c r="K11" s="30">
        <v>266</v>
      </c>
      <c r="L11" s="2">
        <v>84200</v>
      </c>
      <c r="M11">
        <v>410.7</v>
      </c>
      <c r="N11">
        <v>1416600</v>
      </c>
      <c r="O11">
        <v>-40.603499999999997</v>
      </c>
      <c r="P11">
        <v>34.8431</v>
      </c>
      <c r="Q11">
        <v>9.4499999999999993</v>
      </c>
      <c r="R11">
        <v>105020</v>
      </c>
      <c r="S11">
        <v>-0.56669999999999998</v>
      </c>
      <c r="T11" t="s">
        <v>276</v>
      </c>
      <c r="U11">
        <v>84053.95</v>
      </c>
      <c r="V11">
        <v>146.05000000000291</v>
      </c>
      <c r="W11">
        <v>-144.69999999999999</v>
      </c>
      <c r="X11">
        <v>0.65</v>
      </c>
    </row>
    <row r="12" spans="1:24" x14ac:dyDescent="0.3">
      <c r="A12">
        <v>111</v>
      </c>
      <c r="B12" s="1">
        <v>45839</v>
      </c>
      <c r="C12">
        <v>0.17299999999999999</v>
      </c>
      <c r="D12" t="s">
        <v>277</v>
      </c>
      <c r="E12">
        <v>0.3866</v>
      </c>
      <c r="F12">
        <v>293580</v>
      </c>
      <c r="G12">
        <v>9.41</v>
      </c>
      <c r="H12">
        <v>33.900700000000001</v>
      </c>
      <c r="I12">
        <v>-39.369599999999998</v>
      </c>
      <c r="J12">
        <v>7029040</v>
      </c>
      <c r="K12" s="30">
        <v>225.45</v>
      </c>
      <c r="L12" s="2">
        <v>84300</v>
      </c>
      <c r="M12">
        <v>471</v>
      </c>
      <c r="N12">
        <v>653840</v>
      </c>
      <c r="O12">
        <v>-39.525500000000001</v>
      </c>
      <c r="P12">
        <v>33.911200000000001</v>
      </c>
      <c r="Q12">
        <v>9.4499999999999993</v>
      </c>
      <c r="R12">
        <v>50800</v>
      </c>
      <c r="S12">
        <v>-0.61299999999999999</v>
      </c>
      <c r="T12" t="s">
        <v>278</v>
      </c>
      <c r="U12">
        <v>84053.95</v>
      </c>
      <c r="V12">
        <v>246.05000000000291</v>
      </c>
      <c r="W12">
        <v>-245.55</v>
      </c>
      <c r="X12">
        <v>0.48</v>
      </c>
    </row>
    <row r="13" spans="1:24" x14ac:dyDescent="0.3">
      <c r="A13">
        <v>112</v>
      </c>
      <c r="B13" s="1">
        <v>45839</v>
      </c>
      <c r="C13">
        <v>9.69E-2</v>
      </c>
      <c r="D13" t="s">
        <v>279</v>
      </c>
      <c r="E13">
        <v>0.34200000000000003</v>
      </c>
      <c r="F13">
        <v>245000</v>
      </c>
      <c r="G13">
        <v>9.43</v>
      </c>
      <c r="H13">
        <v>32.526899999999998</v>
      </c>
      <c r="I13">
        <v>-37.8202</v>
      </c>
      <c r="J13">
        <v>5509940</v>
      </c>
      <c r="K13" s="30">
        <v>189.3</v>
      </c>
      <c r="L13" s="2">
        <v>84400</v>
      </c>
      <c r="M13">
        <v>536.5</v>
      </c>
      <c r="N13">
        <v>223600</v>
      </c>
      <c r="O13">
        <v>-38.160200000000003</v>
      </c>
      <c r="P13">
        <v>32.569000000000003</v>
      </c>
      <c r="Q13">
        <v>9.5</v>
      </c>
      <c r="R13">
        <v>23740</v>
      </c>
      <c r="S13">
        <v>-0.65690000000000004</v>
      </c>
      <c r="T13" t="s">
        <v>280</v>
      </c>
      <c r="U13">
        <v>84053.95</v>
      </c>
      <c r="V13">
        <v>346.05000000000291</v>
      </c>
      <c r="W13">
        <v>-347.2</v>
      </c>
      <c r="X13">
        <v>0.35</v>
      </c>
    </row>
    <row r="14" spans="1:24" x14ac:dyDescent="0.3">
      <c r="A14">
        <v>113</v>
      </c>
      <c r="B14" s="1">
        <v>45839</v>
      </c>
      <c r="C14">
        <v>0.11600000000000001</v>
      </c>
      <c r="D14" t="s">
        <v>353</v>
      </c>
      <c r="E14">
        <v>0.29959999999999998</v>
      </c>
      <c r="F14">
        <v>650400</v>
      </c>
      <c r="G14">
        <v>9.44</v>
      </c>
      <c r="H14">
        <v>30.7806</v>
      </c>
      <c r="I14">
        <v>-35.8476</v>
      </c>
      <c r="J14">
        <v>14717940</v>
      </c>
      <c r="K14" s="30">
        <v>158.80000000000001</v>
      </c>
      <c r="L14" s="2">
        <v>84500</v>
      </c>
      <c r="M14">
        <v>604</v>
      </c>
      <c r="N14">
        <v>782560</v>
      </c>
      <c r="O14">
        <v>-36.014600000000002</v>
      </c>
      <c r="P14">
        <v>30.811900000000001</v>
      </c>
      <c r="Q14">
        <v>9.48</v>
      </c>
      <c r="R14">
        <v>75420</v>
      </c>
      <c r="S14">
        <v>-0.69969999999999999</v>
      </c>
      <c r="T14" t="s">
        <v>354</v>
      </c>
      <c r="U14">
        <v>84053.95</v>
      </c>
      <c r="V14">
        <v>446.05000000000291</v>
      </c>
      <c r="W14">
        <v>-445.2</v>
      </c>
      <c r="X14">
        <v>0.26</v>
      </c>
    </row>
    <row r="15" spans="1:24" x14ac:dyDescent="0.3">
      <c r="A15">
        <v>114</v>
      </c>
      <c r="B15" s="1">
        <v>45839</v>
      </c>
      <c r="C15">
        <v>4.5999999999999999E-2</v>
      </c>
      <c r="D15" t="s">
        <v>355</v>
      </c>
      <c r="E15">
        <v>0.2601</v>
      </c>
      <c r="F15">
        <v>231940</v>
      </c>
      <c r="G15">
        <v>9.4600000000000009</v>
      </c>
      <c r="H15">
        <v>28.737500000000001</v>
      </c>
      <c r="I15">
        <v>-33.535800000000002</v>
      </c>
      <c r="J15">
        <v>5490200</v>
      </c>
      <c r="K15" s="30">
        <v>130.9</v>
      </c>
      <c r="L15" s="2">
        <v>84600</v>
      </c>
      <c r="M15">
        <v>675.05</v>
      </c>
      <c r="N15">
        <v>64780</v>
      </c>
      <c r="O15">
        <v>-33.401299999999999</v>
      </c>
      <c r="P15">
        <v>28.703299999999999</v>
      </c>
      <c r="Q15">
        <v>9.43</v>
      </c>
      <c r="R15">
        <v>10680</v>
      </c>
      <c r="S15">
        <v>-0.74050000000000005</v>
      </c>
      <c r="T15" t="s">
        <v>356</v>
      </c>
      <c r="U15">
        <v>84053.95</v>
      </c>
      <c r="V15">
        <v>546.05000000000291</v>
      </c>
      <c r="W15">
        <v>-544.15</v>
      </c>
      <c r="X15">
        <v>0.19</v>
      </c>
    </row>
    <row r="16" spans="1:24" x14ac:dyDescent="0.3">
      <c r="A16">
        <v>115</v>
      </c>
      <c r="B16" s="1">
        <v>45839</v>
      </c>
      <c r="C16">
        <v>3.6400000000000002E-2</v>
      </c>
      <c r="D16" t="s">
        <v>357</v>
      </c>
      <c r="E16">
        <v>0.2235</v>
      </c>
      <c r="F16">
        <v>252580</v>
      </c>
      <c r="G16">
        <v>9.48</v>
      </c>
      <c r="H16">
        <v>26.4678</v>
      </c>
      <c r="I16">
        <v>-30.937000000000001</v>
      </c>
      <c r="J16">
        <v>6582940</v>
      </c>
      <c r="K16" s="30">
        <v>107.75</v>
      </c>
      <c r="L16" s="2">
        <v>84700</v>
      </c>
      <c r="M16">
        <v>754.95</v>
      </c>
      <c r="N16">
        <v>48300</v>
      </c>
      <c r="O16">
        <v>-31.430299999999999</v>
      </c>
      <c r="P16">
        <v>26.6219</v>
      </c>
      <c r="Q16">
        <v>9.57</v>
      </c>
      <c r="R16">
        <v>9200</v>
      </c>
      <c r="S16">
        <v>-0.7742</v>
      </c>
      <c r="T16" t="s">
        <v>358</v>
      </c>
      <c r="U16">
        <v>84053.95</v>
      </c>
      <c r="V16">
        <v>646.05000000000291</v>
      </c>
      <c r="W16">
        <v>-647.20000000000005</v>
      </c>
      <c r="X16">
        <v>0.14000000000000001</v>
      </c>
    </row>
    <row r="17" spans="1:24" x14ac:dyDescent="0.3">
      <c r="A17">
        <v>116</v>
      </c>
      <c r="B17" s="1">
        <v>45839</v>
      </c>
      <c r="C17">
        <v>1.17E-2</v>
      </c>
      <c r="D17" t="s">
        <v>365</v>
      </c>
      <c r="E17">
        <v>0.19109999999999999</v>
      </c>
      <c r="F17">
        <v>358700</v>
      </c>
      <c r="G17">
        <v>9.5299999999999994</v>
      </c>
      <c r="H17">
        <v>24.122900000000001</v>
      </c>
      <c r="I17">
        <v>-28.343699999999998</v>
      </c>
      <c r="J17">
        <v>7508400</v>
      </c>
      <c r="K17" s="30">
        <v>88.5</v>
      </c>
      <c r="L17" s="2">
        <v>84800</v>
      </c>
      <c r="M17">
        <v>840</v>
      </c>
      <c r="N17">
        <v>32040</v>
      </c>
      <c r="O17">
        <v>-29.79</v>
      </c>
      <c r="P17">
        <v>24.6433</v>
      </c>
      <c r="Q17">
        <v>9.8000000000000007</v>
      </c>
      <c r="R17">
        <v>4200</v>
      </c>
      <c r="S17">
        <v>-0.80210000000000004</v>
      </c>
      <c r="T17" t="s">
        <v>366</v>
      </c>
      <c r="U17">
        <v>84053.95</v>
      </c>
      <c r="V17">
        <v>746.05000000000291</v>
      </c>
      <c r="W17">
        <v>-751.5</v>
      </c>
      <c r="X17">
        <v>0.11</v>
      </c>
    </row>
    <row r="18" spans="1:24" x14ac:dyDescent="0.3">
      <c r="A18">
        <v>117</v>
      </c>
      <c r="B18" s="1">
        <v>45839</v>
      </c>
      <c r="C18">
        <v>7.6E-3</v>
      </c>
      <c r="D18" t="s">
        <v>369</v>
      </c>
      <c r="E18">
        <v>0.16170000000000001</v>
      </c>
      <c r="F18">
        <v>278500</v>
      </c>
      <c r="G18">
        <v>9.56</v>
      </c>
      <c r="H18">
        <v>21.6982</v>
      </c>
      <c r="I18">
        <v>-25.5867</v>
      </c>
      <c r="J18">
        <v>5759320</v>
      </c>
      <c r="K18" s="30">
        <v>72</v>
      </c>
      <c r="L18" s="2">
        <v>84900</v>
      </c>
      <c r="M18">
        <v>927.4</v>
      </c>
      <c r="N18">
        <v>13940</v>
      </c>
      <c r="O18">
        <v>-28.139399999999998</v>
      </c>
      <c r="P18">
        <v>22.720700000000001</v>
      </c>
      <c r="Q18">
        <v>10.039999999999999</v>
      </c>
      <c r="R18">
        <v>2120</v>
      </c>
      <c r="S18">
        <v>-0.82640000000000002</v>
      </c>
      <c r="T18" t="s">
        <v>370</v>
      </c>
      <c r="U18">
        <v>84053.95</v>
      </c>
      <c r="V18">
        <v>846.05000000000291</v>
      </c>
      <c r="W18">
        <v>-855.4</v>
      </c>
      <c r="X18">
        <v>0.08</v>
      </c>
    </row>
    <row r="19" spans="1:24" x14ac:dyDescent="0.3">
      <c r="A19">
        <v>163</v>
      </c>
      <c r="B19" s="1">
        <v>45832</v>
      </c>
      <c r="C19">
        <v>0.2646</v>
      </c>
      <c r="D19" t="s">
        <v>195</v>
      </c>
      <c r="E19">
        <v>0.3624</v>
      </c>
      <c r="F19">
        <v>110440</v>
      </c>
      <c r="G19">
        <v>12.17</v>
      </c>
      <c r="H19">
        <v>39.341000000000001</v>
      </c>
      <c r="I19">
        <v>-39.522100000000002</v>
      </c>
      <c r="J19">
        <v>2139700</v>
      </c>
      <c r="K19" s="30">
        <v>313.64999999999998</v>
      </c>
      <c r="L19" s="2">
        <v>81900</v>
      </c>
      <c r="M19">
        <v>789.3</v>
      </c>
      <c r="N19">
        <v>802260</v>
      </c>
      <c r="O19">
        <v>-40.918999999999997</v>
      </c>
      <c r="P19">
        <v>39.4938</v>
      </c>
      <c r="Q19">
        <v>12.55</v>
      </c>
      <c r="R19">
        <v>29220</v>
      </c>
      <c r="S19">
        <v>-0.63339999999999996</v>
      </c>
      <c r="T19" t="s">
        <v>196</v>
      </c>
      <c r="U19">
        <v>81422.75</v>
      </c>
      <c r="V19">
        <v>477.25</v>
      </c>
      <c r="W19">
        <v>-475.65</v>
      </c>
      <c r="X19">
        <v>0.4</v>
      </c>
    </row>
    <row r="20" spans="1:24" x14ac:dyDescent="0.3">
      <c r="A20">
        <v>164</v>
      </c>
      <c r="B20" s="1">
        <v>45832</v>
      </c>
      <c r="C20">
        <v>0.23769999999999999</v>
      </c>
      <c r="D20" t="s">
        <v>197</v>
      </c>
      <c r="E20">
        <v>0.3332</v>
      </c>
      <c r="F20">
        <v>283760</v>
      </c>
      <c r="G20">
        <v>12.14</v>
      </c>
      <c r="H20">
        <v>38.142400000000002</v>
      </c>
      <c r="I20">
        <v>-38.215899999999998</v>
      </c>
      <c r="J20">
        <v>4326280</v>
      </c>
      <c r="K20" s="30">
        <v>278.14999999999998</v>
      </c>
      <c r="L20" s="2">
        <v>82000</v>
      </c>
      <c r="M20">
        <v>849.6</v>
      </c>
      <c r="N20">
        <v>1164480</v>
      </c>
      <c r="O20">
        <v>-39.2742</v>
      </c>
      <c r="P20">
        <v>38.307600000000001</v>
      </c>
      <c r="Q20">
        <v>12.42</v>
      </c>
      <c r="R20">
        <v>67440</v>
      </c>
      <c r="S20">
        <v>-0.66310000000000002</v>
      </c>
      <c r="T20" t="s">
        <v>198</v>
      </c>
      <c r="U20">
        <v>81422.75</v>
      </c>
      <c r="V20">
        <v>577.25</v>
      </c>
      <c r="W20">
        <v>-571.45000000000005</v>
      </c>
      <c r="X20">
        <v>0.33</v>
      </c>
    </row>
    <row r="21" spans="1:24" x14ac:dyDescent="0.3">
      <c r="A21">
        <v>165</v>
      </c>
      <c r="B21" s="1">
        <v>45832</v>
      </c>
      <c r="C21">
        <v>0.1075</v>
      </c>
      <c r="D21" t="s">
        <v>199</v>
      </c>
      <c r="E21">
        <v>0.30459999999999998</v>
      </c>
      <c r="F21">
        <v>70540</v>
      </c>
      <c r="G21">
        <v>12.09</v>
      </c>
      <c r="H21">
        <v>36.728499999999997</v>
      </c>
      <c r="I21">
        <v>-36.6432</v>
      </c>
      <c r="J21">
        <v>1264080</v>
      </c>
      <c r="K21" s="30">
        <v>244.45</v>
      </c>
      <c r="L21" s="2">
        <v>82100</v>
      </c>
      <c r="M21">
        <v>933.4</v>
      </c>
      <c r="N21">
        <v>122240</v>
      </c>
      <c r="O21">
        <v>-39.521500000000003</v>
      </c>
      <c r="P21">
        <v>37.294800000000002</v>
      </c>
      <c r="Q21">
        <v>12.84</v>
      </c>
      <c r="R21">
        <v>7580</v>
      </c>
      <c r="S21">
        <v>-0.68459999999999999</v>
      </c>
      <c r="T21" t="s">
        <v>200</v>
      </c>
      <c r="U21">
        <v>81422.75</v>
      </c>
      <c r="V21">
        <v>677.25</v>
      </c>
      <c r="W21">
        <v>-688.95</v>
      </c>
      <c r="X21">
        <v>0.26</v>
      </c>
    </row>
    <row r="22" spans="1:24" x14ac:dyDescent="0.3">
      <c r="A22">
        <v>166</v>
      </c>
      <c r="B22" s="1">
        <v>45832</v>
      </c>
      <c r="C22">
        <v>4.4699999999999997E-2</v>
      </c>
      <c r="D22" t="s">
        <v>201</v>
      </c>
      <c r="E22">
        <v>0.27729999999999999</v>
      </c>
      <c r="F22">
        <v>110400</v>
      </c>
      <c r="G22">
        <v>12.06</v>
      </c>
      <c r="H22">
        <v>35.1541</v>
      </c>
      <c r="I22">
        <v>-34.994999999999997</v>
      </c>
      <c r="J22">
        <v>1520800</v>
      </c>
      <c r="K22" s="30">
        <v>215.2</v>
      </c>
      <c r="L22" s="2">
        <v>82200</v>
      </c>
      <c r="M22">
        <v>994</v>
      </c>
      <c r="N22">
        <v>84560</v>
      </c>
      <c r="O22">
        <v>-36.987400000000001</v>
      </c>
      <c r="P22">
        <v>35.655799999999999</v>
      </c>
      <c r="Q22">
        <v>12.57</v>
      </c>
      <c r="R22">
        <v>4940</v>
      </c>
      <c r="S22">
        <v>-0.71440000000000003</v>
      </c>
      <c r="T22" t="s">
        <v>202</v>
      </c>
      <c r="U22">
        <v>81422.75</v>
      </c>
      <c r="V22">
        <v>777.25</v>
      </c>
      <c r="W22">
        <v>-778.8</v>
      </c>
      <c r="X22">
        <v>0.22</v>
      </c>
    </row>
    <row r="23" spans="1:24" x14ac:dyDescent="0.3">
      <c r="A23">
        <v>167</v>
      </c>
      <c r="B23" s="1">
        <v>45832</v>
      </c>
      <c r="C23">
        <v>6.7699999999999996E-2</v>
      </c>
      <c r="D23" t="s">
        <v>203</v>
      </c>
      <c r="E23">
        <v>0.25119999999999998</v>
      </c>
      <c r="F23">
        <v>68580</v>
      </c>
      <c r="G23">
        <v>12.04</v>
      </c>
      <c r="H23">
        <v>33.429600000000001</v>
      </c>
      <c r="I23">
        <v>-33.204599999999999</v>
      </c>
      <c r="J23">
        <v>1314920</v>
      </c>
      <c r="K23" s="30">
        <v>188.15</v>
      </c>
      <c r="L23" s="2">
        <v>82300</v>
      </c>
      <c r="M23">
        <v>1060</v>
      </c>
      <c r="N23">
        <v>31980</v>
      </c>
      <c r="O23">
        <v>-34.4925</v>
      </c>
      <c r="P23">
        <v>33.825600000000001</v>
      </c>
      <c r="Q23">
        <v>12.36</v>
      </c>
      <c r="R23">
        <v>4640</v>
      </c>
      <c r="S23">
        <v>-0.74309999999999998</v>
      </c>
      <c r="T23" t="s">
        <v>204</v>
      </c>
      <c r="U23">
        <v>81422.75</v>
      </c>
      <c r="V23">
        <v>877.25</v>
      </c>
      <c r="W23">
        <v>-871.85</v>
      </c>
      <c r="X23">
        <v>0.18</v>
      </c>
    </row>
    <row r="24" spans="1:24" x14ac:dyDescent="0.3">
      <c r="A24">
        <v>168</v>
      </c>
      <c r="B24" s="1">
        <v>45832</v>
      </c>
      <c r="C24">
        <v>5.3199999999999997E-2</v>
      </c>
      <c r="D24" t="s">
        <v>205</v>
      </c>
      <c r="E24">
        <v>0.2273</v>
      </c>
      <c r="F24">
        <v>78940</v>
      </c>
      <c r="G24">
        <v>12.05</v>
      </c>
      <c r="H24">
        <v>31.6508</v>
      </c>
      <c r="I24">
        <v>-31.4876</v>
      </c>
      <c r="J24">
        <v>1203180</v>
      </c>
      <c r="K24" s="30">
        <v>164.25</v>
      </c>
      <c r="L24" s="2">
        <v>82400</v>
      </c>
      <c r="M24">
        <v>1142</v>
      </c>
      <c r="N24">
        <v>24760</v>
      </c>
      <c r="O24">
        <v>-33.484499999999997</v>
      </c>
      <c r="P24">
        <v>32.347799999999999</v>
      </c>
      <c r="Q24">
        <v>12.54</v>
      </c>
      <c r="R24">
        <v>4200</v>
      </c>
      <c r="S24">
        <v>-0.76359999999999995</v>
      </c>
      <c r="T24" t="s">
        <v>206</v>
      </c>
      <c r="U24">
        <v>81422.75</v>
      </c>
      <c r="V24">
        <v>977.25</v>
      </c>
      <c r="W24">
        <v>-977.75</v>
      </c>
      <c r="X24">
        <v>0.14000000000000001</v>
      </c>
    </row>
    <row r="25" spans="1:24" x14ac:dyDescent="0.3">
      <c r="A25">
        <v>169</v>
      </c>
      <c r="B25" s="1">
        <v>45832</v>
      </c>
      <c r="C25">
        <v>8.6800000000000002E-2</v>
      </c>
      <c r="D25" t="s">
        <v>207</v>
      </c>
      <c r="E25">
        <v>0.20369999999999999</v>
      </c>
      <c r="F25">
        <v>172360</v>
      </c>
      <c r="G25">
        <v>12.02</v>
      </c>
      <c r="H25">
        <v>29.699000000000002</v>
      </c>
      <c r="I25">
        <v>-29.452400000000001</v>
      </c>
      <c r="J25">
        <v>2665120</v>
      </c>
      <c r="K25" s="30">
        <v>143.05000000000001</v>
      </c>
      <c r="L25" s="2">
        <v>82500</v>
      </c>
      <c r="M25">
        <v>1220</v>
      </c>
      <c r="N25">
        <v>81300</v>
      </c>
      <c r="O25">
        <v>-31.6387</v>
      </c>
      <c r="P25">
        <v>30.564399999999999</v>
      </c>
      <c r="Q25">
        <v>12.54</v>
      </c>
      <c r="R25">
        <v>14960</v>
      </c>
      <c r="S25">
        <v>-0.78610000000000002</v>
      </c>
      <c r="T25" t="s">
        <v>208</v>
      </c>
      <c r="U25">
        <v>81422.75</v>
      </c>
      <c r="V25">
        <v>1077.25</v>
      </c>
      <c r="W25">
        <v>-1076.95</v>
      </c>
      <c r="X25">
        <v>0.12</v>
      </c>
    </row>
    <row r="26" spans="1:24" x14ac:dyDescent="0.3">
      <c r="A26">
        <v>170</v>
      </c>
      <c r="B26" s="1">
        <v>45832</v>
      </c>
      <c r="C26">
        <v>6.6000000000000003E-2</v>
      </c>
      <c r="D26" t="s">
        <v>209</v>
      </c>
      <c r="E26">
        <v>0.18210000000000001</v>
      </c>
      <c r="F26">
        <v>53620</v>
      </c>
      <c r="G26">
        <v>12</v>
      </c>
      <c r="H26">
        <v>27.727599999999999</v>
      </c>
      <c r="I26">
        <v>-27.4712</v>
      </c>
      <c r="J26">
        <v>1104780</v>
      </c>
      <c r="K26" s="30">
        <v>124</v>
      </c>
      <c r="L26" s="2">
        <v>82600</v>
      </c>
      <c r="M26">
        <v>1299.4000000000001</v>
      </c>
      <c r="N26">
        <v>9400</v>
      </c>
      <c r="O26">
        <v>-29.617100000000001</v>
      </c>
      <c r="P26">
        <v>28.672499999999999</v>
      </c>
      <c r="Q26">
        <v>12.52</v>
      </c>
      <c r="R26">
        <v>3540</v>
      </c>
      <c r="S26">
        <v>-0.80779999999999996</v>
      </c>
      <c r="T26" t="s">
        <v>210</v>
      </c>
      <c r="U26">
        <v>81422.75</v>
      </c>
      <c r="V26">
        <v>1177.25</v>
      </c>
      <c r="W26">
        <v>-1175.4000000000001</v>
      </c>
      <c r="X26">
        <v>0.1</v>
      </c>
    </row>
    <row r="27" spans="1:24" x14ac:dyDescent="0.3">
      <c r="A27">
        <v>118</v>
      </c>
      <c r="B27" s="1">
        <v>45825</v>
      </c>
      <c r="C27">
        <v>1.8E-3</v>
      </c>
      <c r="D27" t="s">
        <v>112</v>
      </c>
      <c r="E27">
        <v>0.2112</v>
      </c>
      <c r="F27">
        <v>78840</v>
      </c>
      <c r="G27">
        <v>11.7</v>
      </c>
      <c r="H27">
        <v>31.035499999999999</v>
      </c>
      <c r="I27">
        <v>-29.5793</v>
      </c>
      <c r="J27">
        <v>1205740</v>
      </c>
      <c r="K27" s="30">
        <v>149.25</v>
      </c>
      <c r="L27" s="2">
        <v>83800</v>
      </c>
      <c r="M27">
        <v>1183.5</v>
      </c>
      <c r="N27">
        <v>200</v>
      </c>
      <c r="O27">
        <v>-31.109300000000001</v>
      </c>
      <c r="P27">
        <v>31.650400000000001</v>
      </c>
      <c r="Q27">
        <v>12.06</v>
      </c>
      <c r="R27">
        <v>140</v>
      </c>
      <c r="S27">
        <v>-0.78149999999999997</v>
      </c>
      <c r="T27" t="s">
        <v>113</v>
      </c>
      <c r="U27">
        <v>82779.649999999994</v>
      </c>
      <c r="V27">
        <v>1020.3500000000058</v>
      </c>
      <c r="W27">
        <v>-1034.25</v>
      </c>
      <c r="X27">
        <v>0.13</v>
      </c>
    </row>
    <row r="28" spans="1:24" x14ac:dyDescent="0.3">
      <c r="A28">
        <v>119</v>
      </c>
      <c r="B28" s="1">
        <v>45825</v>
      </c>
      <c r="C28">
        <v>0</v>
      </c>
      <c r="D28" t="s">
        <v>114</v>
      </c>
      <c r="E28">
        <v>0.18959999999999999</v>
      </c>
      <c r="F28">
        <v>58880</v>
      </c>
      <c r="G28">
        <v>11.71</v>
      </c>
      <c r="H28">
        <v>29.0853</v>
      </c>
      <c r="I28">
        <v>-27.765699999999999</v>
      </c>
      <c r="J28">
        <v>931400</v>
      </c>
      <c r="K28" s="30">
        <v>129.44999999999999</v>
      </c>
      <c r="L28" s="2">
        <v>83900</v>
      </c>
      <c r="M28">
        <v>2400</v>
      </c>
      <c r="N28">
        <v>0</v>
      </c>
      <c r="O28">
        <v>-140.71360000000001</v>
      </c>
      <c r="P28">
        <v>41.751899999999999</v>
      </c>
      <c r="Q28">
        <v>41.36</v>
      </c>
      <c r="R28">
        <v>0</v>
      </c>
      <c r="S28">
        <v>-0.58879999999999999</v>
      </c>
      <c r="T28" t="s">
        <v>115</v>
      </c>
      <c r="U28">
        <v>82779.649999999994</v>
      </c>
      <c r="V28">
        <v>1120.3500000000058</v>
      </c>
      <c r="W28">
        <v>-2270.5500000000002</v>
      </c>
      <c r="X28">
        <v>0.05</v>
      </c>
    </row>
    <row r="29" spans="1:24" x14ac:dyDescent="0.3">
      <c r="A29">
        <v>120</v>
      </c>
      <c r="B29" s="1">
        <v>45825</v>
      </c>
      <c r="C29">
        <v>4.2000000000000003E-2</v>
      </c>
      <c r="D29" t="s">
        <v>116</v>
      </c>
      <c r="E29">
        <v>0.16819999999999999</v>
      </c>
      <c r="F29">
        <v>272960</v>
      </c>
      <c r="G29">
        <v>11.67</v>
      </c>
      <c r="H29">
        <v>26.972899999999999</v>
      </c>
      <c r="I29">
        <v>-25.6569</v>
      </c>
      <c r="J29">
        <v>2485500</v>
      </c>
      <c r="K29" s="30">
        <v>111</v>
      </c>
      <c r="L29" s="2">
        <v>84000</v>
      </c>
      <c r="M29">
        <v>1330.9</v>
      </c>
      <c r="N29">
        <v>12740</v>
      </c>
      <c r="O29">
        <v>-25.1204</v>
      </c>
      <c r="P29">
        <v>26.6967</v>
      </c>
      <c r="Q29">
        <v>11.55</v>
      </c>
      <c r="R29">
        <v>11460</v>
      </c>
      <c r="S29">
        <v>-0.83450000000000002</v>
      </c>
      <c r="T29" t="s">
        <v>117</v>
      </c>
      <c r="U29">
        <v>82779.649999999994</v>
      </c>
      <c r="V29">
        <v>1220.3500000000058</v>
      </c>
      <c r="W29">
        <v>-1219.9000000000001</v>
      </c>
      <c r="X29">
        <v>0.08</v>
      </c>
    </row>
    <row r="30" spans="1:24" x14ac:dyDescent="0.3">
      <c r="A30">
        <v>121</v>
      </c>
      <c r="B30" s="1">
        <v>45825</v>
      </c>
      <c r="C30">
        <v>1.6999999999999999E-3</v>
      </c>
      <c r="D30" t="s">
        <v>138</v>
      </c>
      <c r="E30">
        <v>0.14829999999999999</v>
      </c>
      <c r="F30">
        <v>59960</v>
      </c>
      <c r="G30">
        <v>11.63</v>
      </c>
      <c r="H30">
        <v>24.8337</v>
      </c>
      <c r="I30">
        <v>-23.537199999999999</v>
      </c>
      <c r="J30">
        <v>774780</v>
      </c>
      <c r="K30" s="30">
        <v>95.45</v>
      </c>
      <c r="L30" s="2">
        <v>84100</v>
      </c>
      <c r="M30">
        <v>1711.5</v>
      </c>
      <c r="N30">
        <v>0</v>
      </c>
      <c r="O30">
        <v>-61.716700000000003</v>
      </c>
      <c r="P30">
        <v>36.332599999999999</v>
      </c>
      <c r="Q30">
        <v>20.85</v>
      </c>
      <c r="R30">
        <v>100</v>
      </c>
      <c r="S30">
        <v>-0.7167</v>
      </c>
      <c r="T30" t="s">
        <v>139</v>
      </c>
      <c r="U30">
        <v>82779.649999999994</v>
      </c>
      <c r="V30">
        <v>1320.3500000000058</v>
      </c>
      <c r="W30">
        <v>-1616.05</v>
      </c>
      <c r="X30">
        <v>0.06</v>
      </c>
    </row>
    <row r="31" spans="1:24" x14ac:dyDescent="0.3">
      <c r="A31">
        <v>122</v>
      </c>
      <c r="B31" s="1">
        <v>45825</v>
      </c>
      <c r="C31">
        <v>5.0000000000000001E-4</v>
      </c>
      <c r="D31" t="s">
        <v>140</v>
      </c>
      <c r="E31">
        <v>0.1305</v>
      </c>
      <c r="F31">
        <v>72780</v>
      </c>
      <c r="G31">
        <v>11.62</v>
      </c>
      <c r="H31">
        <v>22.7637</v>
      </c>
      <c r="I31">
        <v>-21.547000000000001</v>
      </c>
      <c r="J31">
        <v>1073140</v>
      </c>
      <c r="K31" s="30">
        <v>81.2</v>
      </c>
      <c r="L31" s="2">
        <v>84200</v>
      </c>
      <c r="M31">
        <v>1730</v>
      </c>
      <c r="N31">
        <v>0</v>
      </c>
      <c r="O31">
        <v>-53.738100000000003</v>
      </c>
      <c r="P31">
        <v>34.219099999999997</v>
      </c>
      <c r="Q31">
        <v>19.27</v>
      </c>
      <c r="R31">
        <v>40</v>
      </c>
      <c r="S31">
        <v>-0.74839999999999995</v>
      </c>
      <c r="T31" t="s">
        <v>141</v>
      </c>
      <c r="U31">
        <v>82779.649999999994</v>
      </c>
      <c r="V31">
        <v>1420.3500000000058</v>
      </c>
      <c r="W31">
        <v>-1648.8</v>
      </c>
      <c r="X31">
        <v>0.05</v>
      </c>
    </row>
    <row r="32" spans="1:24" x14ac:dyDescent="0.3">
      <c r="A32">
        <v>123</v>
      </c>
      <c r="B32" s="1">
        <v>45825</v>
      </c>
      <c r="C32">
        <v>2.9999999999999997E-4</v>
      </c>
      <c r="D32" t="s">
        <v>142</v>
      </c>
      <c r="E32">
        <v>0.1145</v>
      </c>
      <c r="F32">
        <v>71520</v>
      </c>
      <c r="G32">
        <v>11.62</v>
      </c>
      <c r="H32">
        <v>20.769300000000001</v>
      </c>
      <c r="I32">
        <v>-19.659099999999999</v>
      </c>
      <c r="J32">
        <v>881480</v>
      </c>
      <c r="K32" s="30">
        <v>69.150000000000006</v>
      </c>
      <c r="L32" s="2">
        <v>84300</v>
      </c>
      <c r="M32">
        <v>1820</v>
      </c>
      <c r="N32">
        <v>0</v>
      </c>
      <c r="O32">
        <v>-53.6815</v>
      </c>
      <c r="P32">
        <v>33.4741</v>
      </c>
      <c r="Q32">
        <v>19.68</v>
      </c>
      <c r="R32">
        <v>20</v>
      </c>
      <c r="S32">
        <v>-0.75860000000000005</v>
      </c>
      <c r="T32" t="s">
        <v>143</v>
      </c>
      <c r="U32">
        <v>82779.649999999994</v>
      </c>
      <c r="V32">
        <v>1520.3500000000058</v>
      </c>
      <c r="W32">
        <v>-1750.85</v>
      </c>
      <c r="X32">
        <v>0.04</v>
      </c>
    </row>
  </sheetData>
  <conditionalFormatting sqref="A2:X32">
    <cfRule type="expression" dxfId="0" priority="1">
      <formula>$V2=MIN($V$2:$V$50)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nifty_0</vt:lpstr>
      <vt:lpstr>nifty_1</vt:lpstr>
      <vt:lpstr>nifty_3</vt:lpstr>
      <vt:lpstr>bnf_0</vt:lpstr>
      <vt:lpstr>sensex_0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Mohit Sharma</cp:lastModifiedBy>
  <dcterms:created xsi:type="dcterms:W3CDTF">2015-06-05T18:17:20Z</dcterms:created>
  <dcterms:modified xsi:type="dcterms:W3CDTF">2025-06-27T08:43:13Z</dcterms:modified>
</cp:coreProperties>
</file>